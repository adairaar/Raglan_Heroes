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adair/Downloads/"/>
    </mc:Choice>
  </mc:AlternateContent>
  <xr:revisionPtr revIDLastSave="0" documentId="13_ncr:1_{B27DDA36-E5C0-6A40-89E6-9D16D850FD6B}" xr6:coauthVersionLast="47" xr6:coauthVersionMax="47" xr10:uidLastSave="{00000000-0000-0000-0000-000000000000}"/>
  <bookViews>
    <workbookView xWindow="0" yWindow="740" windowWidth="30240" windowHeight="17740" firstSheet="2" activeTab="3" xr2:uid="{55C72741-59D7-F74F-AF3E-4CBBB60049CF}"/>
  </bookViews>
  <sheets>
    <sheet name="cleaned_counts" sheetId="9" r:id="rId1"/>
    <sheet name="cleaned_revised_counts" sheetId="10" r:id="rId2"/>
    <sheet name="cleaned_revised_counts v2" sheetId="11" r:id="rId3"/>
    <sheet name="cleaned_revised_counts v3" sheetId="13" r:id="rId4"/>
    <sheet name="Kappa" sheetId="14" r:id="rId5"/>
    <sheet name="almost_raglan" sheetId="12" r:id="rId6"/>
    <sheet name="Initial Results (3)" sheetId="6" r:id="rId7"/>
    <sheet name="Initial Results" sheetId="1" r:id="rId8"/>
    <sheet name="Sheet2" sheetId="5" r:id="rId9"/>
    <sheet name="Initial Results (2)" sheetId="4" r:id="rId10"/>
    <sheet name="Sheet3" sheetId="3" r:id="rId11"/>
    <sheet name="original meaning" sheetId="2" r:id="rId12"/>
    <sheet name="New Criteria" sheetId="7" r:id="rId13"/>
    <sheet name="New Counts" sheetId="8" r:id="rId14"/>
  </sheets>
  <definedNames>
    <definedName name="_xlchart.v1.0" hidden="1">'Initial Results (3)'!$F$64:$AA$64</definedName>
    <definedName name="_xlchart.v1.1" hidden="1">'Initial Results (3)'!$F$70:$AA$70</definedName>
    <definedName name="_xlchart.v1.10" hidden="1">'Initial Results'!$F$74:$AA$74</definedName>
    <definedName name="_xlchart.v1.11" hidden="1">'Initial Results'!$F$68:$AA$68</definedName>
    <definedName name="_xlchart.v1.12" hidden="1">'Initial Results'!$F$82:$AA$82</definedName>
    <definedName name="_xlchart.v1.13" hidden="1">'Initial Results'!$F$72:$AA$72</definedName>
    <definedName name="_xlchart.v1.14" hidden="1">'Initial Results'!$F$113:$F$346</definedName>
    <definedName name="_xlchart.v1.15" hidden="1">('Initial Results'!$B$2,'Initial Results'!$B$4:$B$34)</definedName>
    <definedName name="_xlchart.v1.16" hidden="1">('Initial Results'!$B$37:$B$46,'Initial Results'!$B$48:$B$50,'Initial Results'!$B$53:$B$57)</definedName>
    <definedName name="_xlchart.v1.17" hidden="1">'Initial Results (2)'!$F$68:$AA$68</definedName>
    <definedName name="_xlchart.v1.18" hidden="1">'Initial Results (2)'!$F$74:$AA$74</definedName>
    <definedName name="_xlchart.v1.19" hidden="1">'Initial Results (2)'!$F$68:$AA$68</definedName>
    <definedName name="_xlchart.v1.2" hidden="1">'Initial Results (3)'!$F$64:$AA$64</definedName>
    <definedName name="_xlchart.v1.20" hidden="1">'Initial Results (2)'!$F$82:$AA$82</definedName>
    <definedName name="_xlchart.v1.21" hidden="1">'Initial Results (2)'!$F$72:$AA$72</definedName>
    <definedName name="_xlchart.v1.22" hidden="1">'New Counts'!$V$2:$V$29</definedName>
    <definedName name="_xlchart.v1.3" hidden="1">'Initial Results (3)'!$F$78:$AA$78</definedName>
    <definedName name="_xlchart.v1.4" hidden="1">'Initial Results (3)'!$F$68:$AA$68</definedName>
    <definedName name="_xlchart.v1.5" hidden="1">'Initial Results (3)'!$F$109:$F$342</definedName>
    <definedName name="_xlchart.v1.6" hidden="1">'Initial Results (3)'!$B$2,'Initial Results (3)'!$B$3:$B$33</definedName>
    <definedName name="_xlchart.v1.7" hidden="1">'Initial Results (3)'!$B$36:$B$45,'Initial Results (3)'!$B$46:$B$48,'Initial Results (3)'!$B$49:$B$53</definedName>
    <definedName name="_xlchart.v1.8" hidden="1">('Initial Results (3)'!$B$2:$B$33,'Initial Results (3)'!$B$36:$B$53)</definedName>
    <definedName name="_xlchart.v1.9" hidden="1">'Initial Results'!$F$68:$AA$68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0" i="14" l="1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M43" i="14"/>
  <c r="DW38" i="14"/>
  <c r="DV38" i="14"/>
  <c r="DU38" i="14"/>
  <c r="DT38" i="14"/>
  <c r="DS38" i="14"/>
  <c r="DR38" i="14"/>
  <c r="DQ38" i="14"/>
  <c r="DP38" i="14"/>
  <c r="DO38" i="14"/>
  <c r="DN38" i="14"/>
  <c r="DM38" i="14"/>
  <c r="DL38" i="14"/>
  <c r="DK38" i="14"/>
  <c r="DJ38" i="14"/>
  <c r="DI38" i="14"/>
  <c r="DH38" i="14"/>
  <c r="DG38" i="14"/>
  <c r="DE38" i="14"/>
  <c r="DD38" i="14"/>
  <c r="DC38" i="14"/>
  <c r="DB38" i="14"/>
  <c r="DA38" i="14"/>
  <c r="CZ38" i="14"/>
  <c r="CY38" i="14"/>
  <c r="CX38" i="14"/>
  <c r="CW38" i="14"/>
  <c r="CV38" i="14"/>
  <c r="CU38" i="14"/>
  <c r="CT38" i="14"/>
  <c r="CS38" i="14"/>
  <c r="CR38" i="14"/>
  <c r="CQ38" i="14"/>
  <c r="CP38" i="14"/>
  <c r="CO38" i="14"/>
  <c r="CM38" i="14"/>
  <c r="CL38" i="14"/>
  <c r="CK38" i="14"/>
  <c r="CJ38" i="14"/>
  <c r="CI38" i="14"/>
  <c r="CH38" i="14"/>
  <c r="CG38" i="14"/>
  <c r="CF38" i="14"/>
  <c r="CE38" i="14"/>
  <c r="CD38" i="14"/>
  <c r="CC38" i="14"/>
  <c r="CB38" i="14"/>
  <c r="CA38" i="14"/>
  <c r="BZ38" i="14"/>
  <c r="BY38" i="14"/>
  <c r="BX38" i="14"/>
  <c r="BW38" i="14"/>
  <c r="BU38" i="14"/>
  <c r="BT38" i="14"/>
  <c r="BS38" i="14"/>
  <c r="BR38" i="14"/>
  <c r="BQ38" i="14"/>
  <c r="BP38" i="14"/>
  <c r="BO38" i="14"/>
  <c r="BN38" i="14"/>
  <c r="BM38" i="14"/>
  <c r="BL38" i="14"/>
  <c r="BK38" i="14"/>
  <c r="BJ38" i="14"/>
  <c r="BI38" i="14"/>
  <c r="BH38" i="14"/>
  <c r="BG38" i="14"/>
  <c r="BF38" i="14"/>
  <c r="BE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DW37" i="14"/>
  <c r="DV37" i="14"/>
  <c r="DU37" i="14"/>
  <c r="DT37" i="14"/>
  <c r="DS37" i="14"/>
  <c r="DR37" i="14"/>
  <c r="DQ37" i="14"/>
  <c r="DP37" i="14"/>
  <c r="DO37" i="14"/>
  <c r="DN37" i="14"/>
  <c r="DM37" i="14"/>
  <c r="DL37" i="14"/>
  <c r="DK37" i="14"/>
  <c r="DJ37" i="14"/>
  <c r="DI37" i="14"/>
  <c r="DH37" i="14"/>
  <c r="DG37" i="14"/>
  <c r="DE37" i="14"/>
  <c r="DD37" i="14"/>
  <c r="DC37" i="14"/>
  <c r="DB37" i="14"/>
  <c r="DA37" i="14"/>
  <c r="CZ37" i="14"/>
  <c r="CY37" i="14"/>
  <c r="CX37" i="14"/>
  <c r="CW37" i="14"/>
  <c r="CV37" i="14"/>
  <c r="CU37" i="14"/>
  <c r="CT37" i="14"/>
  <c r="CS37" i="14"/>
  <c r="CR37" i="14"/>
  <c r="CQ37" i="14"/>
  <c r="CP37" i="14"/>
  <c r="CO37" i="14"/>
  <c r="CM37" i="14"/>
  <c r="CL37" i="14"/>
  <c r="CK37" i="14"/>
  <c r="CJ37" i="14"/>
  <c r="CI37" i="14"/>
  <c r="CH37" i="14"/>
  <c r="CG37" i="14"/>
  <c r="CF37" i="14"/>
  <c r="CE37" i="14"/>
  <c r="CD37" i="14"/>
  <c r="CC37" i="14"/>
  <c r="CB37" i="14"/>
  <c r="CA37" i="14"/>
  <c r="BZ37" i="14"/>
  <c r="BY37" i="14"/>
  <c r="BX37" i="14"/>
  <c r="BW37" i="14"/>
  <c r="BU37" i="14"/>
  <c r="BT37" i="14"/>
  <c r="BS37" i="14"/>
  <c r="BR37" i="14"/>
  <c r="BQ37" i="14"/>
  <c r="BP37" i="14"/>
  <c r="BO37" i="14"/>
  <c r="BN37" i="14"/>
  <c r="BM37" i="14"/>
  <c r="BL37" i="14"/>
  <c r="BK37" i="14"/>
  <c r="BJ37" i="14"/>
  <c r="BI37" i="14"/>
  <c r="BH37" i="14"/>
  <c r="BG37" i="14"/>
  <c r="BF37" i="14"/>
  <c r="BE37" i="14"/>
  <c r="BC37" i="14"/>
  <c r="BB37" i="14"/>
  <c r="BA37" i="14"/>
  <c r="AZ37" i="14"/>
  <c r="AY37" i="14"/>
  <c r="AX37" i="14"/>
  <c r="AW37" i="14"/>
  <c r="AV37" i="14"/>
  <c r="AU37" i="14"/>
  <c r="AT37" i="14"/>
  <c r="AS37" i="14"/>
  <c r="AR37" i="14"/>
  <c r="AQ37" i="14"/>
  <c r="AP37" i="14"/>
  <c r="AO37" i="14"/>
  <c r="AN37" i="14"/>
  <c r="AM37" i="14"/>
  <c r="DW36" i="14"/>
  <c r="DV36" i="14"/>
  <c r="DU36" i="14"/>
  <c r="DT36" i="14"/>
  <c r="DS36" i="14"/>
  <c r="DR36" i="14"/>
  <c r="DQ36" i="14"/>
  <c r="DP36" i="14"/>
  <c r="DO36" i="14"/>
  <c r="DN36" i="14"/>
  <c r="DM36" i="14"/>
  <c r="DL36" i="14"/>
  <c r="DK36" i="14"/>
  <c r="DJ36" i="14"/>
  <c r="DI36" i="14"/>
  <c r="DH36" i="14"/>
  <c r="DG36" i="14"/>
  <c r="DE36" i="14"/>
  <c r="DD36" i="14"/>
  <c r="DC36" i="14"/>
  <c r="DB36" i="14"/>
  <c r="DA36" i="14"/>
  <c r="CZ36" i="14"/>
  <c r="CY36" i="14"/>
  <c r="CX36" i="14"/>
  <c r="CW36" i="14"/>
  <c r="CV36" i="14"/>
  <c r="CU36" i="14"/>
  <c r="CT36" i="14"/>
  <c r="CS36" i="14"/>
  <c r="CR36" i="14"/>
  <c r="CQ36" i="14"/>
  <c r="CP36" i="14"/>
  <c r="CO36" i="14"/>
  <c r="CM36" i="14"/>
  <c r="CL36" i="14"/>
  <c r="CK36" i="14"/>
  <c r="CJ36" i="14"/>
  <c r="CI36" i="14"/>
  <c r="CH36" i="14"/>
  <c r="CG36" i="14"/>
  <c r="CF36" i="14"/>
  <c r="CE36" i="14"/>
  <c r="CD36" i="14"/>
  <c r="CC36" i="14"/>
  <c r="CB36" i="14"/>
  <c r="CA36" i="14"/>
  <c r="BZ36" i="14"/>
  <c r="BY36" i="14"/>
  <c r="BX36" i="14"/>
  <c r="BW36" i="14"/>
  <c r="BU36" i="14"/>
  <c r="BT36" i="14"/>
  <c r="BS36" i="14"/>
  <c r="BR36" i="14"/>
  <c r="BQ36" i="14"/>
  <c r="BP36" i="14"/>
  <c r="BO36" i="14"/>
  <c r="BN36" i="14"/>
  <c r="BM36" i="14"/>
  <c r="BL36" i="14"/>
  <c r="BK36" i="14"/>
  <c r="BJ36" i="14"/>
  <c r="BI36" i="14"/>
  <c r="BH36" i="14"/>
  <c r="BG36" i="14"/>
  <c r="BF36" i="14"/>
  <c r="BE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Q36" i="14"/>
  <c r="AP36" i="14"/>
  <c r="AO36" i="14"/>
  <c r="AN36" i="14"/>
  <c r="AM36" i="14"/>
  <c r="DW35" i="14"/>
  <c r="DV35" i="14"/>
  <c r="DU35" i="14"/>
  <c r="DT35" i="14"/>
  <c r="DS35" i="14"/>
  <c r="DR35" i="14"/>
  <c r="DQ35" i="14"/>
  <c r="DP35" i="14"/>
  <c r="DO35" i="14"/>
  <c r="DN35" i="14"/>
  <c r="DM35" i="14"/>
  <c r="DL35" i="14"/>
  <c r="DK35" i="14"/>
  <c r="DJ35" i="14"/>
  <c r="DI35" i="14"/>
  <c r="DH35" i="14"/>
  <c r="DG35" i="14"/>
  <c r="DE35" i="14"/>
  <c r="DD35" i="14"/>
  <c r="DC35" i="14"/>
  <c r="DB35" i="14"/>
  <c r="DA35" i="14"/>
  <c r="CZ35" i="14"/>
  <c r="CY35" i="14"/>
  <c r="CX35" i="14"/>
  <c r="CW35" i="14"/>
  <c r="CV35" i="14"/>
  <c r="CU35" i="14"/>
  <c r="CT35" i="14"/>
  <c r="CS35" i="14"/>
  <c r="CR35" i="14"/>
  <c r="CQ35" i="14"/>
  <c r="CP35" i="14"/>
  <c r="CO35" i="14"/>
  <c r="CM35" i="14"/>
  <c r="CL35" i="14"/>
  <c r="CK35" i="14"/>
  <c r="CJ35" i="14"/>
  <c r="CI35" i="14"/>
  <c r="CH35" i="14"/>
  <c r="CG35" i="14"/>
  <c r="CF35" i="14"/>
  <c r="CE35" i="14"/>
  <c r="CD35" i="14"/>
  <c r="CC35" i="14"/>
  <c r="CB35" i="14"/>
  <c r="CA35" i="14"/>
  <c r="BZ35" i="14"/>
  <c r="BY35" i="14"/>
  <c r="BX35" i="14"/>
  <c r="BW35" i="14"/>
  <c r="BU35" i="14"/>
  <c r="BT35" i="14"/>
  <c r="BS35" i="14"/>
  <c r="BR35" i="14"/>
  <c r="BQ35" i="14"/>
  <c r="BP35" i="14"/>
  <c r="BO35" i="14"/>
  <c r="BN35" i="14"/>
  <c r="BM35" i="14"/>
  <c r="BL35" i="14"/>
  <c r="BK35" i="14"/>
  <c r="BJ35" i="14"/>
  <c r="BI35" i="14"/>
  <c r="BH35" i="14"/>
  <c r="BG35" i="14"/>
  <c r="BF35" i="14"/>
  <c r="BE35" i="14"/>
  <c r="BC35" i="14"/>
  <c r="BB35" i="14"/>
  <c r="BA35" i="14"/>
  <c r="AZ35" i="14"/>
  <c r="AY35" i="14"/>
  <c r="AX35" i="14"/>
  <c r="AW35" i="14"/>
  <c r="AV35" i="14"/>
  <c r="AU35" i="14"/>
  <c r="AT35" i="14"/>
  <c r="AS35" i="14"/>
  <c r="AR35" i="14"/>
  <c r="AQ35" i="14"/>
  <c r="AP35" i="14"/>
  <c r="AO35" i="14"/>
  <c r="AN35" i="14"/>
  <c r="AM35" i="14"/>
  <c r="DW34" i="14"/>
  <c r="DV34" i="14"/>
  <c r="DU34" i="14"/>
  <c r="DT34" i="14"/>
  <c r="DS34" i="14"/>
  <c r="DR34" i="14"/>
  <c r="DQ34" i="14"/>
  <c r="DP34" i="14"/>
  <c r="DO34" i="14"/>
  <c r="DN34" i="14"/>
  <c r="DM34" i="14"/>
  <c r="DL34" i="14"/>
  <c r="DK34" i="14"/>
  <c r="DJ34" i="14"/>
  <c r="DI34" i="14"/>
  <c r="DH34" i="14"/>
  <c r="DG34" i="14"/>
  <c r="DE34" i="14"/>
  <c r="DD34" i="14"/>
  <c r="DC34" i="14"/>
  <c r="DB34" i="14"/>
  <c r="DA34" i="14"/>
  <c r="CZ34" i="14"/>
  <c r="CY34" i="14"/>
  <c r="CX34" i="14"/>
  <c r="CW34" i="14"/>
  <c r="CV34" i="14"/>
  <c r="CU34" i="14"/>
  <c r="CT34" i="14"/>
  <c r="CS34" i="14"/>
  <c r="CR34" i="14"/>
  <c r="CQ34" i="14"/>
  <c r="CP34" i="14"/>
  <c r="CO34" i="14"/>
  <c r="CM34" i="14"/>
  <c r="CL34" i="14"/>
  <c r="CK34" i="14"/>
  <c r="CJ34" i="14"/>
  <c r="CI34" i="14"/>
  <c r="CH34" i="14"/>
  <c r="CG34" i="14"/>
  <c r="CF34" i="14"/>
  <c r="CE34" i="14"/>
  <c r="CD34" i="14"/>
  <c r="CC34" i="14"/>
  <c r="CB34" i="14"/>
  <c r="CA34" i="14"/>
  <c r="BZ34" i="14"/>
  <c r="BY34" i="14"/>
  <c r="BX34" i="14"/>
  <c r="BW34" i="14"/>
  <c r="BU34" i="14"/>
  <c r="BT34" i="14"/>
  <c r="BS34" i="14"/>
  <c r="BR34" i="14"/>
  <c r="BQ34" i="14"/>
  <c r="BP34" i="14"/>
  <c r="BO34" i="14"/>
  <c r="BN34" i="14"/>
  <c r="BM34" i="14"/>
  <c r="BL34" i="14"/>
  <c r="BK34" i="14"/>
  <c r="BJ34" i="14"/>
  <c r="BI34" i="14"/>
  <c r="BH34" i="14"/>
  <c r="BG34" i="14"/>
  <c r="BF34" i="14"/>
  <c r="BE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DW33" i="14"/>
  <c r="DV33" i="14"/>
  <c r="DU33" i="14"/>
  <c r="DT33" i="14"/>
  <c r="DS33" i="14"/>
  <c r="DR33" i="14"/>
  <c r="DQ33" i="14"/>
  <c r="DP33" i="14"/>
  <c r="DO33" i="14"/>
  <c r="DN33" i="14"/>
  <c r="DM33" i="14"/>
  <c r="DL33" i="14"/>
  <c r="DK33" i="14"/>
  <c r="DJ33" i="14"/>
  <c r="DI33" i="14"/>
  <c r="DH33" i="14"/>
  <c r="DG33" i="14"/>
  <c r="DE33" i="14"/>
  <c r="DD33" i="14"/>
  <c r="DC33" i="14"/>
  <c r="DB33" i="14"/>
  <c r="DA33" i="14"/>
  <c r="CZ33" i="14"/>
  <c r="CY33" i="14"/>
  <c r="CX33" i="14"/>
  <c r="CW33" i="14"/>
  <c r="CV33" i="14"/>
  <c r="CU33" i="14"/>
  <c r="CT33" i="14"/>
  <c r="CS33" i="14"/>
  <c r="CR33" i="14"/>
  <c r="CQ33" i="14"/>
  <c r="CP33" i="14"/>
  <c r="CO33" i="14"/>
  <c r="CM33" i="14"/>
  <c r="CL33" i="14"/>
  <c r="CK33" i="14"/>
  <c r="CJ33" i="14"/>
  <c r="CI33" i="14"/>
  <c r="CH33" i="14"/>
  <c r="CG33" i="14"/>
  <c r="CF33" i="14"/>
  <c r="CE33" i="14"/>
  <c r="CD33" i="14"/>
  <c r="CC33" i="14"/>
  <c r="CB33" i="14"/>
  <c r="CA33" i="14"/>
  <c r="BZ33" i="14"/>
  <c r="BY33" i="14"/>
  <c r="BX33" i="14"/>
  <c r="BW33" i="14"/>
  <c r="BU33" i="14"/>
  <c r="BT33" i="14"/>
  <c r="BS33" i="14"/>
  <c r="BR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DW32" i="14"/>
  <c r="DV32" i="14"/>
  <c r="DU32" i="14"/>
  <c r="DT32" i="14"/>
  <c r="DS32" i="14"/>
  <c r="DR32" i="14"/>
  <c r="DQ32" i="14"/>
  <c r="DP32" i="14"/>
  <c r="DO32" i="14"/>
  <c r="DN32" i="14"/>
  <c r="DM32" i="14"/>
  <c r="DL32" i="14"/>
  <c r="DK32" i="14"/>
  <c r="DJ32" i="14"/>
  <c r="DI32" i="14"/>
  <c r="DH32" i="14"/>
  <c r="DG32" i="14"/>
  <c r="DE32" i="14"/>
  <c r="DD32" i="14"/>
  <c r="DC32" i="14"/>
  <c r="DB32" i="14"/>
  <c r="DA32" i="14"/>
  <c r="CZ32" i="14"/>
  <c r="CY32" i="14"/>
  <c r="CX32" i="14"/>
  <c r="CW32" i="14"/>
  <c r="CV32" i="14"/>
  <c r="CU32" i="14"/>
  <c r="CT32" i="14"/>
  <c r="CS32" i="14"/>
  <c r="CR32" i="14"/>
  <c r="CQ32" i="14"/>
  <c r="CP32" i="14"/>
  <c r="CO32" i="14"/>
  <c r="CM32" i="14"/>
  <c r="CL32" i="14"/>
  <c r="CK32" i="14"/>
  <c r="CJ32" i="14"/>
  <c r="CI32" i="14"/>
  <c r="CH32" i="14"/>
  <c r="CG32" i="14"/>
  <c r="CF32" i="14"/>
  <c r="CE32" i="14"/>
  <c r="CD32" i="14"/>
  <c r="CC32" i="14"/>
  <c r="CB32" i="14"/>
  <c r="CA32" i="14"/>
  <c r="BZ32" i="14"/>
  <c r="BY32" i="14"/>
  <c r="BX32" i="14"/>
  <c r="BW32" i="14"/>
  <c r="BU32" i="14"/>
  <c r="BT32" i="14"/>
  <c r="BS32" i="14"/>
  <c r="BR32" i="14"/>
  <c r="BQ32" i="14"/>
  <c r="BP32" i="14"/>
  <c r="BO32" i="14"/>
  <c r="BN32" i="14"/>
  <c r="BM32" i="14"/>
  <c r="BL32" i="14"/>
  <c r="BK32" i="14"/>
  <c r="BJ32" i="14"/>
  <c r="BI32" i="14"/>
  <c r="BH32" i="14"/>
  <c r="BG32" i="14"/>
  <c r="BF32" i="14"/>
  <c r="BE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DW31" i="14"/>
  <c r="DV31" i="14"/>
  <c r="DU31" i="14"/>
  <c r="DT31" i="14"/>
  <c r="DS31" i="14"/>
  <c r="DR31" i="14"/>
  <c r="DQ31" i="14"/>
  <c r="DP31" i="14"/>
  <c r="DO31" i="14"/>
  <c r="DN31" i="14"/>
  <c r="DM31" i="14"/>
  <c r="DL31" i="14"/>
  <c r="DK31" i="14"/>
  <c r="DJ31" i="14"/>
  <c r="DI31" i="14"/>
  <c r="DH31" i="14"/>
  <c r="DG31" i="14"/>
  <c r="DE31" i="14"/>
  <c r="DD31" i="14"/>
  <c r="DC31" i="14"/>
  <c r="DB31" i="14"/>
  <c r="DA31" i="14"/>
  <c r="CZ31" i="14"/>
  <c r="CY31" i="14"/>
  <c r="CX31" i="14"/>
  <c r="CW31" i="14"/>
  <c r="CV31" i="14"/>
  <c r="CU31" i="14"/>
  <c r="CT31" i="14"/>
  <c r="CS31" i="14"/>
  <c r="CR31" i="14"/>
  <c r="CQ31" i="14"/>
  <c r="CP31" i="14"/>
  <c r="CO31" i="14"/>
  <c r="CM31" i="14"/>
  <c r="CL31" i="14"/>
  <c r="CK31" i="14"/>
  <c r="CJ31" i="14"/>
  <c r="CI31" i="14"/>
  <c r="CH31" i="14"/>
  <c r="CG31" i="14"/>
  <c r="CF31" i="14"/>
  <c r="CE31" i="14"/>
  <c r="CD31" i="14"/>
  <c r="CC31" i="14"/>
  <c r="CB31" i="14"/>
  <c r="CA31" i="14"/>
  <c r="BZ31" i="14"/>
  <c r="BY31" i="14"/>
  <c r="BX31" i="14"/>
  <c r="BW31" i="14"/>
  <c r="BU31" i="14"/>
  <c r="BT31" i="14"/>
  <c r="BS31" i="14"/>
  <c r="BR31" i="14"/>
  <c r="BQ31" i="14"/>
  <c r="BP31" i="14"/>
  <c r="BO31" i="14"/>
  <c r="BN31" i="14"/>
  <c r="BM31" i="14"/>
  <c r="BL31" i="14"/>
  <c r="BK31" i="14"/>
  <c r="BJ31" i="14"/>
  <c r="BI31" i="14"/>
  <c r="BH31" i="14"/>
  <c r="BG31" i="14"/>
  <c r="BF31" i="14"/>
  <c r="BE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DW30" i="14"/>
  <c r="DV30" i="14"/>
  <c r="DU30" i="14"/>
  <c r="DT30" i="14"/>
  <c r="DS30" i="14"/>
  <c r="DR30" i="14"/>
  <c r="DQ30" i="14"/>
  <c r="DP30" i="14"/>
  <c r="DO30" i="14"/>
  <c r="DN30" i="14"/>
  <c r="DM30" i="14"/>
  <c r="DL30" i="14"/>
  <c r="DK30" i="14"/>
  <c r="DJ30" i="14"/>
  <c r="DI30" i="14"/>
  <c r="DH30" i="14"/>
  <c r="DG30" i="14"/>
  <c r="DE30" i="14"/>
  <c r="DD30" i="14"/>
  <c r="DC30" i="14"/>
  <c r="DB30" i="14"/>
  <c r="DA30" i="14"/>
  <c r="CZ30" i="14"/>
  <c r="CY30" i="14"/>
  <c r="CX30" i="14"/>
  <c r="CW30" i="14"/>
  <c r="CV30" i="14"/>
  <c r="CU30" i="14"/>
  <c r="CT30" i="14"/>
  <c r="CS30" i="14"/>
  <c r="CR30" i="14"/>
  <c r="CQ30" i="14"/>
  <c r="CP30" i="14"/>
  <c r="CO30" i="14"/>
  <c r="CM30" i="14"/>
  <c r="CL30" i="14"/>
  <c r="CK30" i="14"/>
  <c r="CJ30" i="14"/>
  <c r="CI30" i="14"/>
  <c r="CH30" i="14"/>
  <c r="CG30" i="14"/>
  <c r="CF30" i="14"/>
  <c r="CE30" i="14"/>
  <c r="CD30" i="14"/>
  <c r="CC30" i="14"/>
  <c r="CB30" i="14"/>
  <c r="CA30" i="14"/>
  <c r="BZ30" i="14"/>
  <c r="BY30" i="14"/>
  <c r="BX30" i="14"/>
  <c r="BW30" i="14"/>
  <c r="BU30" i="14"/>
  <c r="BT30" i="14"/>
  <c r="BS30" i="14"/>
  <c r="BR30" i="14"/>
  <c r="BQ30" i="14"/>
  <c r="BP30" i="14"/>
  <c r="BO30" i="14"/>
  <c r="BN30" i="14"/>
  <c r="BM30" i="14"/>
  <c r="BL30" i="14"/>
  <c r="BK30" i="14"/>
  <c r="BJ30" i="14"/>
  <c r="BI30" i="14"/>
  <c r="BH30" i="14"/>
  <c r="BG30" i="14"/>
  <c r="BF30" i="14"/>
  <c r="BE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DW29" i="14"/>
  <c r="DV29" i="14"/>
  <c r="DU29" i="14"/>
  <c r="DT29" i="14"/>
  <c r="DS29" i="14"/>
  <c r="DR29" i="14"/>
  <c r="DQ29" i="14"/>
  <c r="DP29" i="14"/>
  <c r="DO29" i="14"/>
  <c r="DN29" i="14"/>
  <c r="DM29" i="14"/>
  <c r="DL29" i="14"/>
  <c r="DK29" i="14"/>
  <c r="DJ29" i="14"/>
  <c r="DI29" i="14"/>
  <c r="DH29" i="14"/>
  <c r="DG29" i="14"/>
  <c r="DE29" i="14"/>
  <c r="DD29" i="14"/>
  <c r="DC29" i="14"/>
  <c r="DB29" i="14"/>
  <c r="DA29" i="14"/>
  <c r="CZ29" i="14"/>
  <c r="CY29" i="14"/>
  <c r="CX29" i="14"/>
  <c r="CW29" i="14"/>
  <c r="CV29" i="14"/>
  <c r="CU29" i="14"/>
  <c r="CT29" i="14"/>
  <c r="CS29" i="14"/>
  <c r="CR29" i="14"/>
  <c r="CQ29" i="14"/>
  <c r="CP29" i="14"/>
  <c r="CO29" i="14"/>
  <c r="CM29" i="14"/>
  <c r="CL29" i="14"/>
  <c r="CK29" i="14"/>
  <c r="CJ29" i="14"/>
  <c r="CI29" i="14"/>
  <c r="CH29" i="14"/>
  <c r="CG29" i="14"/>
  <c r="CF29" i="14"/>
  <c r="CE29" i="14"/>
  <c r="CD29" i="14"/>
  <c r="CC29" i="14"/>
  <c r="CB29" i="14"/>
  <c r="CA29" i="14"/>
  <c r="BZ29" i="14"/>
  <c r="BY29" i="14"/>
  <c r="BX29" i="14"/>
  <c r="BW29" i="14"/>
  <c r="BU29" i="14"/>
  <c r="BT29" i="14"/>
  <c r="BS29" i="14"/>
  <c r="BR29" i="14"/>
  <c r="BQ29" i="14"/>
  <c r="BP29" i="14"/>
  <c r="BO29" i="14"/>
  <c r="BN29" i="14"/>
  <c r="BM29" i="14"/>
  <c r="BL29" i="14"/>
  <c r="BK29" i="14"/>
  <c r="BJ29" i="14"/>
  <c r="BI29" i="14"/>
  <c r="BH29" i="14"/>
  <c r="BG29" i="14"/>
  <c r="BF29" i="14"/>
  <c r="BE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DW28" i="14"/>
  <c r="DV28" i="14"/>
  <c r="DU28" i="14"/>
  <c r="DT28" i="14"/>
  <c r="DS28" i="14"/>
  <c r="DR28" i="14"/>
  <c r="DQ28" i="14"/>
  <c r="DP28" i="14"/>
  <c r="DO28" i="14"/>
  <c r="DN28" i="14"/>
  <c r="DM28" i="14"/>
  <c r="DL28" i="14"/>
  <c r="DK28" i="14"/>
  <c r="DJ28" i="14"/>
  <c r="DI28" i="14"/>
  <c r="DH28" i="14"/>
  <c r="DG28" i="14"/>
  <c r="DE28" i="14"/>
  <c r="DD28" i="14"/>
  <c r="DC28" i="14"/>
  <c r="DB28" i="14"/>
  <c r="DA28" i="14"/>
  <c r="CZ28" i="14"/>
  <c r="CY28" i="14"/>
  <c r="CX28" i="14"/>
  <c r="CW28" i="14"/>
  <c r="CV28" i="14"/>
  <c r="CU28" i="14"/>
  <c r="CT28" i="14"/>
  <c r="CS28" i="14"/>
  <c r="CR28" i="14"/>
  <c r="CQ28" i="14"/>
  <c r="CP28" i="14"/>
  <c r="CO28" i="14"/>
  <c r="CM28" i="14"/>
  <c r="CL28" i="14"/>
  <c r="CK28" i="14"/>
  <c r="CJ28" i="14"/>
  <c r="CI28" i="14"/>
  <c r="CH28" i="14"/>
  <c r="CG28" i="14"/>
  <c r="CF28" i="14"/>
  <c r="CE28" i="14"/>
  <c r="CD28" i="14"/>
  <c r="CC28" i="14"/>
  <c r="CB28" i="14"/>
  <c r="CA28" i="14"/>
  <c r="BZ28" i="14"/>
  <c r="BY28" i="14"/>
  <c r="BX28" i="14"/>
  <c r="BW28" i="14"/>
  <c r="BU28" i="14"/>
  <c r="BT28" i="14"/>
  <c r="BS28" i="14"/>
  <c r="BR28" i="14"/>
  <c r="BQ28" i="14"/>
  <c r="BP28" i="14"/>
  <c r="BO28" i="14"/>
  <c r="BN28" i="14"/>
  <c r="BM28" i="14"/>
  <c r="BL28" i="14"/>
  <c r="BK28" i="14"/>
  <c r="BJ28" i="14"/>
  <c r="BI28" i="14"/>
  <c r="BH28" i="14"/>
  <c r="BG28" i="14"/>
  <c r="BF28" i="14"/>
  <c r="BE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DW27" i="14"/>
  <c r="DV27" i="14"/>
  <c r="DU27" i="14"/>
  <c r="DT27" i="14"/>
  <c r="DS27" i="14"/>
  <c r="DR27" i="14"/>
  <c r="DQ27" i="14"/>
  <c r="DP27" i="14"/>
  <c r="DO27" i="14"/>
  <c r="DN27" i="14"/>
  <c r="DM27" i="14"/>
  <c r="DL27" i="14"/>
  <c r="DK27" i="14"/>
  <c r="DJ27" i="14"/>
  <c r="DI27" i="14"/>
  <c r="DH27" i="14"/>
  <c r="DG27" i="14"/>
  <c r="DE27" i="14"/>
  <c r="DD27" i="14"/>
  <c r="DC27" i="14"/>
  <c r="DB27" i="14"/>
  <c r="DA27" i="14"/>
  <c r="CZ27" i="14"/>
  <c r="CY27" i="14"/>
  <c r="CX27" i="14"/>
  <c r="CW27" i="14"/>
  <c r="CV27" i="14"/>
  <c r="CU27" i="14"/>
  <c r="CT27" i="14"/>
  <c r="CS27" i="14"/>
  <c r="CR27" i="14"/>
  <c r="CQ27" i="14"/>
  <c r="CP27" i="14"/>
  <c r="CO27" i="14"/>
  <c r="CM27" i="14"/>
  <c r="CL27" i="14"/>
  <c r="CK27" i="14"/>
  <c r="CJ27" i="14"/>
  <c r="CI27" i="14"/>
  <c r="CH27" i="14"/>
  <c r="CG27" i="14"/>
  <c r="CF27" i="14"/>
  <c r="CE27" i="14"/>
  <c r="CD27" i="14"/>
  <c r="CC27" i="14"/>
  <c r="CB27" i="14"/>
  <c r="CA27" i="14"/>
  <c r="BZ27" i="14"/>
  <c r="BY27" i="14"/>
  <c r="BX27" i="14"/>
  <c r="BW27" i="14"/>
  <c r="BU27" i="14"/>
  <c r="BT27" i="14"/>
  <c r="BS27" i="14"/>
  <c r="BR27" i="14"/>
  <c r="BQ27" i="14"/>
  <c r="BP27" i="14"/>
  <c r="BO27" i="14"/>
  <c r="BN27" i="14"/>
  <c r="BM27" i="14"/>
  <c r="BL27" i="14"/>
  <c r="BK27" i="14"/>
  <c r="BJ27" i="14"/>
  <c r="BI27" i="14"/>
  <c r="BH27" i="14"/>
  <c r="BG27" i="14"/>
  <c r="BF27" i="14"/>
  <c r="BE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DW26" i="14"/>
  <c r="DV26" i="14"/>
  <c r="DU26" i="14"/>
  <c r="DT26" i="14"/>
  <c r="DS26" i="14"/>
  <c r="DR26" i="14"/>
  <c r="DQ26" i="14"/>
  <c r="DP26" i="14"/>
  <c r="DO26" i="14"/>
  <c r="DN26" i="14"/>
  <c r="DM26" i="14"/>
  <c r="DL26" i="14"/>
  <c r="DK26" i="14"/>
  <c r="DJ26" i="14"/>
  <c r="DI26" i="14"/>
  <c r="DH26" i="14"/>
  <c r="DG26" i="14"/>
  <c r="DE26" i="14"/>
  <c r="DD26" i="14"/>
  <c r="DC26" i="14"/>
  <c r="DB26" i="14"/>
  <c r="DA26" i="14"/>
  <c r="CZ26" i="14"/>
  <c r="CY26" i="14"/>
  <c r="CX26" i="14"/>
  <c r="CW26" i="14"/>
  <c r="CV26" i="14"/>
  <c r="CU26" i="14"/>
  <c r="CT26" i="14"/>
  <c r="CS26" i="14"/>
  <c r="CR26" i="14"/>
  <c r="CQ26" i="14"/>
  <c r="CP26" i="14"/>
  <c r="CO26" i="14"/>
  <c r="CM26" i="14"/>
  <c r="CL26" i="14"/>
  <c r="CK26" i="14"/>
  <c r="CJ26" i="14"/>
  <c r="CI26" i="14"/>
  <c r="CH26" i="14"/>
  <c r="CG26" i="14"/>
  <c r="CF26" i="14"/>
  <c r="CE26" i="14"/>
  <c r="CD26" i="14"/>
  <c r="CC26" i="14"/>
  <c r="CB26" i="14"/>
  <c r="CA26" i="14"/>
  <c r="BZ26" i="14"/>
  <c r="BY26" i="14"/>
  <c r="BX26" i="14"/>
  <c r="BW26" i="14"/>
  <c r="BU26" i="14"/>
  <c r="BT26" i="14"/>
  <c r="BS26" i="14"/>
  <c r="BR26" i="14"/>
  <c r="BQ26" i="14"/>
  <c r="BP26" i="14"/>
  <c r="BO26" i="14"/>
  <c r="BN26" i="14"/>
  <c r="BM26" i="14"/>
  <c r="BL26" i="14"/>
  <c r="BK26" i="14"/>
  <c r="BJ26" i="14"/>
  <c r="BI26" i="14"/>
  <c r="BH26" i="14"/>
  <c r="BG26" i="14"/>
  <c r="BF26" i="14"/>
  <c r="BE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P26" i="14"/>
  <c r="AO26" i="14"/>
  <c r="AN26" i="14"/>
  <c r="AM26" i="14"/>
  <c r="DW25" i="14"/>
  <c r="DV25" i="14"/>
  <c r="DU25" i="14"/>
  <c r="DT25" i="14"/>
  <c r="DS25" i="14"/>
  <c r="DR25" i="14"/>
  <c r="DQ25" i="14"/>
  <c r="DP25" i="14"/>
  <c r="DO25" i="14"/>
  <c r="DN25" i="14"/>
  <c r="DM25" i="14"/>
  <c r="DL25" i="14"/>
  <c r="DK25" i="14"/>
  <c r="DJ25" i="14"/>
  <c r="DI25" i="14"/>
  <c r="DH25" i="14"/>
  <c r="DG25" i="14"/>
  <c r="DE25" i="14"/>
  <c r="DD25" i="14"/>
  <c r="DC25" i="14"/>
  <c r="DB25" i="14"/>
  <c r="DA25" i="14"/>
  <c r="CZ25" i="14"/>
  <c r="CY25" i="14"/>
  <c r="CX25" i="14"/>
  <c r="CW25" i="14"/>
  <c r="CV25" i="14"/>
  <c r="CU25" i="14"/>
  <c r="CT25" i="14"/>
  <c r="CS25" i="14"/>
  <c r="CR25" i="14"/>
  <c r="CQ25" i="14"/>
  <c r="CP25" i="14"/>
  <c r="CO25" i="14"/>
  <c r="CM25" i="14"/>
  <c r="CL25" i="14"/>
  <c r="CK25" i="14"/>
  <c r="CJ25" i="14"/>
  <c r="CI25" i="14"/>
  <c r="CH25" i="14"/>
  <c r="CG25" i="14"/>
  <c r="CF25" i="14"/>
  <c r="CE25" i="14"/>
  <c r="CD25" i="14"/>
  <c r="CC25" i="14"/>
  <c r="CB25" i="14"/>
  <c r="CA25" i="14"/>
  <c r="BZ25" i="14"/>
  <c r="BY25" i="14"/>
  <c r="BX25" i="14"/>
  <c r="BW25" i="14"/>
  <c r="BU25" i="14"/>
  <c r="BT25" i="14"/>
  <c r="BS25" i="14"/>
  <c r="BR25" i="14"/>
  <c r="BQ25" i="14"/>
  <c r="BP25" i="14"/>
  <c r="BO25" i="14"/>
  <c r="BN25" i="14"/>
  <c r="BM25" i="14"/>
  <c r="BL25" i="14"/>
  <c r="BK25" i="14"/>
  <c r="BJ25" i="14"/>
  <c r="BI25" i="14"/>
  <c r="BH25" i="14"/>
  <c r="BG25" i="14"/>
  <c r="BF25" i="14"/>
  <c r="BE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DW24" i="14"/>
  <c r="DV24" i="14"/>
  <c r="DU24" i="14"/>
  <c r="DT24" i="14"/>
  <c r="DS24" i="14"/>
  <c r="DR24" i="14"/>
  <c r="DQ24" i="14"/>
  <c r="DP24" i="14"/>
  <c r="DO24" i="14"/>
  <c r="DN24" i="14"/>
  <c r="DM24" i="14"/>
  <c r="DL24" i="14"/>
  <c r="DK24" i="14"/>
  <c r="DJ24" i="14"/>
  <c r="DI24" i="14"/>
  <c r="DH24" i="14"/>
  <c r="DG24" i="14"/>
  <c r="DE24" i="14"/>
  <c r="DD24" i="14"/>
  <c r="DC24" i="14"/>
  <c r="DB24" i="14"/>
  <c r="DA24" i="14"/>
  <c r="CZ24" i="14"/>
  <c r="CY24" i="14"/>
  <c r="CX24" i="14"/>
  <c r="CW24" i="14"/>
  <c r="CV24" i="14"/>
  <c r="CU24" i="14"/>
  <c r="CT24" i="14"/>
  <c r="CS24" i="14"/>
  <c r="CR24" i="14"/>
  <c r="CQ24" i="14"/>
  <c r="CP24" i="14"/>
  <c r="CO24" i="14"/>
  <c r="CM24" i="14"/>
  <c r="CL24" i="14"/>
  <c r="CK24" i="14"/>
  <c r="CJ24" i="14"/>
  <c r="CI24" i="14"/>
  <c r="CH24" i="14"/>
  <c r="CG24" i="14"/>
  <c r="CF24" i="14"/>
  <c r="CE24" i="14"/>
  <c r="CD24" i="14"/>
  <c r="CC24" i="14"/>
  <c r="CB24" i="14"/>
  <c r="CA24" i="14"/>
  <c r="BZ24" i="14"/>
  <c r="BY24" i="14"/>
  <c r="BX24" i="14"/>
  <c r="BW24" i="14"/>
  <c r="BU24" i="14"/>
  <c r="BT24" i="14"/>
  <c r="BS24" i="14"/>
  <c r="BR24" i="14"/>
  <c r="BQ24" i="14"/>
  <c r="BP24" i="14"/>
  <c r="BO24" i="14"/>
  <c r="BN24" i="14"/>
  <c r="BM24" i="14"/>
  <c r="BL24" i="14"/>
  <c r="BK24" i="14"/>
  <c r="BJ24" i="14"/>
  <c r="BI24" i="14"/>
  <c r="BH24" i="14"/>
  <c r="BG24" i="14"/>
  <c r="BF24" i="14"/>
  <c r="BE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DW23" i="14"/>
  <c r="DV23" i="14"/>
  <c r="DU23" i="14"/>
  <c r="DT23" i="14"/>
  <c r="DS23" i="14"/>
  <c r="DR23" i="14"/>
  <c r="DQ23" i="14"/>
  <c r="DP23" i="14"/>
  <c r="DO23" i="14"/>
  <c r="DN23" i="14"/>
  <c r="DM23" i="14"/>
  <c r="DL23" i="14"/>
  <c r="DK23" i="14"/>
  <c r="DJ23" i="14"/>
  <c r="DI23" i="14"/>
  <c r="DH23" i="14"/>
  <c r="DG23" i="14"/>
  <c r="DE23" i="14"/>
  <c r="DD23" i="14"/>
  <c r="DC23" i="14"/>
  <c r="DB23" i="14"/>
  <c r="DA23" i="14"/>
  <c r="CZ23" i="14"/>
  <c r="CY23" i="14"/>
  <c r="CX23" i="14"/>
  <c r="CW23" i="14"/>
  <c r="CV23" i="14"/>
  <c r="CU23" i="14"/>
  <c r="CT23" i="14"/>
  <c r="CS23" i="14"/>
  <c r="CR23" i="14"/>
  <c r="CQ23" i="14"/>
  <c r="CP23" i="14"/>
  <c r="CO23" i="14"/>
  <c r="CM23" i="14"/>
  <c r="CL23" i="14"/>
  <c r="CK23" i="14"/>
  <c r="CJ23" i="14"/>
  <c r="CI23" i="14"/>
  <c r="CH23" i="14"/>
  <c r="CG23" i="14"/>
  <c r="CF23" i="14"/>
  <c r="CE23" i="14"/>
  <c r="CD23" i="14"/>
  <c r="CC23" i="14"/>
  <c r="CB23" i="14"/>
  <c r="CA23" i="14"/>
  <c r="BZ23" i="14"/>
  <c r="BY23" i="14"/>
  <c r="BX23" i="14"/>
  <c r="BW23" i="14"/>
  <c r="BU23" i="14"/>
  <c r="BT23" i="14"/>
  <c r="BS23" i="14"/>
  <c r="BR23" i="14"/>
  <c r="BQ23" i="14"/>
  <c r="BP23" i="14"/>
  <c r="BO23" i="14"/>
  <c r="BN23" i="14"/>
  <c r="BM23" i="14"/>
  <c r="BL23" i="14"/>
  <c r="BK23" i="14"/>
  <c r="BJ23" i="14"/>
  <c r="BI23" i="14"/>
  <c r="BH23" i="14"/>
  <c r="BG23" i="14"/>
  <c r="BF23" i="14"/>
  <c r="BE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DW22" i="14"/>
  <c r="DV22" i="14"/>
  <c r="DU22" i="14"/>
  <c r="DT22" i="14"/>
  <c r="DS22" i="14"/>
  <c r="DR22" i="14"/>
  <c r="DQ22" i="14"/>
  <c r="DP22" i="14"/>
  <c r="DO22" i="14"/>
  <c r="DN22" i="14"/>
  <c r="DM22" i="14"/>
  <c r="DL22" i="14"/>
  <c r="DK22" i="14"/>
  <c r="DJ22" i="14"/>
  <c r="DI22" i="14"/>
  <c r="DH22" i="14"/>
  <c r="DG22" i="14"/>
  <c r="DE22" i="14"/>
  <c r="DD22" i="14"/>
  <c r="DC22" i="14"/>
  <c r="DB22" i="14"/>
  <c r="DA22" i="14"/>
  <c r="CZ22" i="14"/>
  <c r="CY22" i="14"/>
  <c r="CX22" i="14"/>
  <c r="CW22" i="14"/>
  <c r="CV22" i="14"/>
  <c r="CU22" i="14"/>
  <c r="CT22" i="14"/>
  <c r="CS22" i="14"/>
  <c r="CR22" i="14"/>
  <c r="CQ22" i="14"/>
  <c r="CP22" i="14"/>
  <c r="CO22" i="14"/>
  <c r="CM22" i="14"/>
  <c r="CL22" i="14"/>
  <c r="CK22" i="14"/>
  <c r="CJ22" i="14"/>
  <c r="CI22" i="14"/>
  <c r="CH22" i="14"/>
  <c r="CG22" i="14"/>
  <c r="CF22" i="14"/>
  <c r="CE22" i="14"/>
  <c r="CD22" i="14"/>
  <c r="CC22" i="14"/>
  <c r="CB22" i="14"/>
  <c r="CA22" i="14"/>
  <c r="BZ22" i="14"/>
  <c r="BY22" i="14"/>
  <c r="BX22" i="14"/>
  <c r="BW22" i="14"/>
  <c r="BU22" i="14"/>
  <c r="BT22" i="14"/>
  <c r="BS22" i="14"/>
  <c r="BR22" i="14"/>
  <c r="BQ22" i="14"/>
  <c r="BP22" i="14"/>
  <c r="BO22" i="14"/>
  <c r="BN22" i="14"/>
  <c r="BM22" i="14"/>
  <c r="BL22" i="14"/>
  <c r="BK22" i="14"/>
  <c r="BJ22" i="14"/>
  <c r="BI22" i="14"/>
  <c r="BH22" i="14"/>
  <c r="BG22" i="14"/>
  <c r="BF22" i="14"/>
  <c r="BE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DW21" i="14"/>
  <c r="DV21" i="14"/>
  <c r="DU21" i="14"/>
  <c r="DT21" i="14"/>
  <c r="DS21" i="14"/>
  <c r="DR21" i="14"/>
  <c r="DQ21" i="14"/>
  <c r="DP21" i="14"/>
  <c r="DO21" i="14"/>
  <c r="DN21" i="14"/>
  <c r="DM21" i="14"/>
  <c r="DL21" i="14"/>
  <c r="DK21" i="14"/>
  <c r="DJ21" i="14"/>
  <c r="DI21" i="14"/>
  <c r="DH21" i="14"/>
  <c r="DG21" i="14"/>
  <c r="DE21" i="14"/>
  <c r="DD21" i="14"/>
  <c r="DC21" i="14"/>
  <c r="DB21" i="14"/>
  <c r="DA21" i="14"/>
  <c r="CZ21" i="14"/>
  <c r="CY21" i="14"/>
  <c r="CX21" i="14"/>
  <c r="CW21" i="14"/>
  <c r="CV21" i="14"/>
  <c r="CU21" i="14"/>
  <c r="CT21" i="14"/>
  <c r="CS21" i="14"/>
  <c r="CR21" i="14"/>
  <c r="CQ21" i="14"/>
  <c r="CP21" i="14"/>
  <c r="CO21" i="14"/>
  <c r="CM21" i="14"/>
  <c r="CL21" i="14"/>
  <c r="CK21" i="14"/>
  <c r="CJ21" i="14"/>
  <c r="CI21" i="14"/>
  <c r="CH21" i="14"/>
  <c r="CG21" i="14"/>
  <c r="CF21" i="14"/>
  <c r="CE21" i="14"/>
  <c r="CD21" i="14"/>
  <c r="CC21" i="14"/>
  <c r="CB21" i="14"/>
  <c r="CA21" i="14"/>
  <c r="BZ21" i="14"/>
  <c r="BY21" i="14"/>
  <c r="BX21" i="14"/>
  <c r="BW21" i="14"/>
  <c r="BU21" i="14"/>
  <c r="BT21" i="14"/>
  <c r="BS21" i="14"/>
  <c r="BR21" i="14"/>
  <c r="BQ21" i="14"/>
  <c r="BP21" i="14"/>
  <c r="BO21" i="14"/>
  <c r="BN21" i="14"/>
  <c r="BM21" i="14"/>
  <c r="BL21" i="14"/>
  <c r="BK21" i="14"/>
  <c r="BJ21" i="14"/>
  <c r="BI21" i="14"/>
  <c r="BH21" i="14"/>
  <c r="BG21" i="14"/>
  <c r="BF21" i="14"/>
  <c r="BE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DW20" i="14"/>
  <c r="DV20" i="14"/>
  <c r="DU20" i="14"/>
  <c r="DT20" i="14"/>
  <c r="DS20" i="14"/>
  <c r="DR20" i="14"/>
  <c r="DQ20" i="14"/>
  <c r="DP20" i="14"/>
  <c r="DO20" i="14"/>
  <c r="DN20" i="14"/>
  <c r="DM20" i="14"/>
  <c r="DL20" i="14"/>
  <c r="DK20" i="14"/>
  <c r="DJ20" i="14"/>
  <c r="DI20" i="14"/>
  <c r="DH20" i="14"/>
  <c r="DG20" i="14"/>
  <c r="DE20" i="14"/>
  <c r="DD20" i="14"/>
  <c r="DC20" i="14"/>
  <c r="DB20" i="14"/>
  <c r="DA20" i="14"/>
  <c r="CZ20" i="14"/>
  <c r="CY20" i="14"/>
  <c r="CX20" i="14"/>
  <c r="CW20" i="14"/>
  <c r="CV20" i="14"/>
  <c r="CU20" i="14"/>
  <c r="CT20" i="14"/>
  <c r="CS20" i="14"/>
  <c r="CR20" i="14"/>
  <c r="CQ20" i="14"/>
  <c r="CP20" i="14"/>
  <c r="CO20" i="14"/>
  <c r="CM20" i="14"/>
  <c r="CL20" i="14"/>
  <c r="CK20" i="14"/>
  <c r="CJ20" i="14"/>
  <c r="CI20" i="14"/>
  <c r="CH20" i="14"/>
  <c r="CG20" i="14"/>
  <c r="CF20" i="14"/>
  <c r="CE20" i="14"/>
  <c r="CD20" i="14"/>
  <c r="CC20" i="14"/>
  <c r="CB20" i="14"/>
  <c r="CA20" i="14"/>
  <c r="BZ20" i="14"/>
  <c r="BY20" i="14"/>
  <c r="BX20" i="14"/>
  <c r="BW20" i="14"/>
  <c r="BU20" i="14"/>
  <c r="BT20" i="14"/>
  <c r="BS20" i="14"/>
  <c r="BR20" i="14"/>
  <c r="BQ20" i="14"/>
  <c r="BP20" i="14"/>
  <c r="BO20" i="14"/>
  <c r="BN20" i="14"/>
  <c r="BM20" i="14"/>
  <c r="BL20" i="14"/>
  <c r="BK20" i="14"/>
  <c r="BJ20" i="14"/>
  <c r="BI20" i="14"/>
  <c r="BH20" i="14"/>
  <c r="BG20" i="14"/>
  <c r="BF20" i="14"/>
  <c r="BE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DW19" i="14"/>
  <c r="DV19" i="14"/>
  <c r="DU19" i="14"/>
  <c r="DT19" i="14"/>
  <c r="DS19" i="14"/>
  <c r="DR19" i="14"/>
  <c r="DQ19" i="14"/>
  <c r="DP19" i="14"/>
  <c r="DO19" i="14"/>
  <c r="DN19" i="14"/>
  <c r="DM19" i="14"/>
  <c r="DL19" i="14"/>
  <c r="DK19" i="14"/>
  <c r="DJ19" i="14"/>
  <c r="DI19" i="14"/>
  <c r="DH19" i="14"/>
  <c r="DG19" i="14"/>
  <c r="DE19" i="14"/>
  <c r="DD19" i="14"/>
  <c r="DC19" i="14"/>
  <c r="DB19" i="14"/>
  <c r="DA19" i="14"/>
  <c r="CZ19" i="14"/>
  <c r="CY19" i="14"/>
  <c r="CX19" i="14"/>
  <c r="CW19" i="14"/>
  <c r="CV19" i="14"/>
  <c r="CU19" i="14"/>
  <c r="CT19" i="14"/>
  <c r="CS19" i="14"/>
  <c r="CR19" i="14"/>
  <c r="CQ19" i="14"/>
  <c r="CP19" i="14"/>
  <c r="CO19" i="14"/>
  <c r="CM19" i="14"/>
  <c r="CL19" i="14"/>
  <c r="CK19" i="14"/>
  <c r="CJ19" i="14"/>
  <c r="CI19" i="14"/>
  <c r="CH19" i="14"/>
  <c r="CG19" i="14"/>
  <c r="CF19" i="14"/>
  <c r="CE19" i="14"/>
  <c r="CD19" i="14"/>
  <c r="CC19" i="14"/>
  <c r="CB19" i="14"/>
  <c r="CA19" i="14"/>
  <c r="BZ19" i="14"/>
  <c r="BY19" i="14"/>
  <c r="BX19" i="14"/>
  <c r="BW19" i="14"/>
  <c r="BU19" i="14"/>
  <c r="BT19" i="14"/>
  <c r="BS19" i="14"/>
  <c r="BR19" i="14"/>
  <c r="BQ19" i="14"/>
  <c r="BP19" i="14"/>
  <c r="BO19" i="14"/>
  <c r="BN19" i="14"/>
  <c r="BM19" i="14"/>
  <c r="BL19" i="14"/>
  <c r="BK19" i="14"/>
  <c r="BJ19" i="14"/>
  <c r="BI19" i="14"/>
  <c r="BH19" i="14"/>
  <c r="BG19" i="14"/>
  <c r="BF19" i="14"/>
  <c r="BE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DW18" i="14"/>
  <c r="DV18" i="14"/>
  <c r="DU18" i="14"/>
  <c r="DT18" i="14"/>
  <c r="DS18" i="14"/>
  <c r="DR18" i="14"/>
  <c r="DQ18" i="14"/>
  <c r="DP18" i="14"/>
  <c r="DO18" i="14"/>
  <c r="DN18" i="14"/>
  <c r="DM18" i="14"/>
  <c r="DL18" i="14"/>
  <c r="DK18" i="14"/>
  <c r="DJ18" i="14"/>
  <c r="DI18" i="14"/>
  <c r="DH18" i="14"/>
  <c r="DG18" i="14"/>
  <c r="DE18" i="14"/>
  <c r="DD18" i="14"/>
  <c r="DC18" i="14"/>
  <c r="DB18" i="14"/>
  <c r="DA18" i="14"/>
  <c r="CZ18" i="14"/>
  <c r="CY18" i="14"/>
  <c r="CX18" i="14"/>
  <c r="CW18" i="14"/>
  <c r="CV18" i="14"/>
  <c r="CU18" i="14"/>
  <c r="CT18" i="14"/>
  <c r="CS18" i="14"/>
  <c r="CR18" i="14"/>
  <c r="CQ18" i="14"/>
  <c r="CP18" i="14"/>
  <c r="CO18" i="14"/>
  <c r="CM18" i="14"/>
  <c r="CL18" i="14"/>
  <c r="CK18" i="14"/>
  <c r="CJ18" i="14"/>
  <c r="CI18" i="14"/>
  <c r="CH18" i="14"/>
  <c r="CG18" i="14"/>
  <c r="CF18" i="14"/>
  <c r="CE18" i="14"/>
  <c r="CD18" i="14"/>
  <c r="CC18" i="14"/>
  <c r="CB18" i="14"/>
  <c r="CA18" i="14"/>
  <c r="BZ18" i="14"/>
  <c r="BY18" i="14"/>
  <c r="BX18" i="14"/>
  <c r="BW18" i="14"/>
  <c r="BU18" i="14"/>
  <c r="BT18" i="14"/>
  <c r="BS18" i="14"/>
  <c r="BR18" i="14"/>
  <c r="BQ18" i="14"/>
  <c r="BP18" i="14"/>
  <c r="BO18" i="14"/>
  <c r="BN18" i="14"/>
  <c r="BM18" i="14"/>
  <c r="BL18" i="14"/>
  <c r="BK18" i="14"/>
  <c r="BJ18" i="14"/>
  <c r="BI18" i="14"/>
  <c r="BH18" i="14"/>
  <c r="BG18" i="14"/>
  <c r="BF18" i="14"/>
  <c r="BE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DW17" i="14"/>
  <c r="DV17" i="14"/>
  <c r="DU17" i="14"/>
  <c r="DT17" i="14"/>
  <c r="DS17" i="14"/>
  <c r="DR17" i="14"/>
  <c r="DQ17" i="14"/>
  <c r="DP17" i="14"/>
  <c r="DO17" i="14"/>
  <c r="DN17" i="14"/>
  <c r="DM17" i="14"/>
  <c r="DL17" i="14"/>
  <c r="DK17" i="14"/>
  <c r="DJ17" i="14"/>
  <c r="DI17" i="14"/>
  <c r="DH17" i="14"/>
  <c r="DG17" i="14"/>
  <c r="DE17" i="14"/>
  <c r="DD17" i="14"/>
  <c r="DC17" i="14"/>
  <c r="DB17" i="14"/>
  <c r="DA17" i="14"/>
  <c r="CZ17" i="14"/>
  <c r="CY17" i="14"/>
  <c r="CX17" i="14"/>
  <c r="CW17" i="14"/>
  <c r="CV17" i="14"/>
  <c r="CU17" i="14"/>
  <c r="CT17" i="14"/>
  <c r="CS17" i="14"/>
  <c r="CR17" i="14"/>
  <c r="CQ17" i="14"/>
  <c r="CP17" i="14"/>
  <c r="CO17" i="14"/>
  <c r="CM17" i="14"/>
  <c r="CL17" i="14"/>
  <c r="CK17" i="14"/>
  <c r="CJ17" i="14"/>
  <c r="CI17" i="14"/>
  <c r="CH17" i="14"/>
  <c r="CG17" i="14"/>
  <c r="CF17" i="14"/>
  <c r="CE17" i="14"/>
  <c r="CD17" i="14"/>
  <c r="CC17" i="14"/>
  <c r="CB17" i="14"/>
  <c r="CA17" i="14"/>
  <c r="BZ17" i="14"/>
  <c r="BY17" i="14"/>
  <c r="BX17" i="14"/>
  <c r="BW17" i="14"/>
  <c r="BU17" i="14"/>
  <c r="BT17" i="14"/>
  <c r="BS17" i="14"/>
  <c r="BR17" i="14"/>
  <c r="BQ17" i="14"/>
  <c r="BP17" i="14"/>
  <c r="BO17" i="14"/>
  <c r="BN17" i="14"/>
  <c r="BM17" i="14"/>
  <c r="BL17" i="14"/>
  <c r="BK17" i="14"/>
  <c r="BJ17" i="14"/>
  <c r="BI17" i="14"/>
  <c r="BH17" i="14"/>
  <c r="BG17" i="14"/>
  <c r="BF17" i="14"/>
  <c r="BE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DW16" i="14"/>
  <c r="DV16" i="14"/>
  <c r="DU16" i="14"/>
  <c r="DT16" i="14"/>
  <c r="DS16" i="14"/>
  <c r="DR16" i="14"/>
  <c r="DQ16" i="14"/>
  <c r="DP16" i="14"/>
  <c r="DO16" i="14"/>
  <c r="DN16" i="14"/>
  <c r="DM16" i="14"/>
  <c r="DL16" i="14"/>
  <c r="DK16" i="14"/>
  <c r="DJ16" i="14"/>
  <c r="DI16" i="14"/>
  <c r="DH16" i="14"/>
  <c r="DG16" i="14"/>
  <c r="DE16" i="14"/>
  <c r="DD16" i="14"/>
  <c r="DC16" i="14"/>
  <c r="DB16" i="14"/>
  <c r="DA16" i="14"/>
  <c r="CZ16" i="14"/>
  <c r="CY16" i="14"/>
  <c r="CX16" i="14"/>
  <c r="CW16" i="14"/>
  <c r="CV16" i="14"/>
  <c r="CU16" i="14"/>
  <c r="CT16" i="14"/>
  <c r="CS16" i="14"/>
  <c r="CR16" i="14"/>
  <c r="CQ16" i="14"/>
  <c r="CP16" i="14"/>
  <c r="CO16" i="14"/>
  <c r="CM16" i="14"/>
  <c r="CL16" i="14"/>
  <c r="CK16" i="14"/>
  <c r="CJ16" i="14"/>
  <c r="CI16" i="14"/>
  <c r="CH16" i="14"/>
  <c r="CG16" i="14"/>
  <c r="CF16" i="14"/>
  <c r="CE16" i="14"/>
  <c r="CD16" i="14"/>
  <c r="CC16" i="14"/>
  <c r="CB16" i="14"/>
  <c r="CA16" i="14"/>
  <c r="BZ16" i="14"/>
  <c r="BY16" i="14"/>
  <c r="BX16" i="14"/>
  <c r="BW16" i="14"/>
  <c r="BU16" i="14"/>
  <c r="BT16" i="14"/>
  <c r="BS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DW15" i="14"/>
  <c r="DV15" i="14"/>
  <c r="DU15" i="14"/>
  <c r="DT15" i="14"/>
  <c r="DS15" i="14"/>
  <c r="DR15" i="14"/>
  <c r="DQ15" i="14"/>
  <c r="DP15" i="14"/>
  <c r="DO15" i="14"/>
  <c r="DN15" i="14"/>
  <c r="DM15" i="14"/>
  <c r="DL15" i="14"/>
  <c r="DK15" i="14"/>
  <c r="DJ15" i="14"/>
  <c r="DI15" i="14"/>
  <c r="DH15" i="14"/>
  <c r="DG15" i="14"/>
  <c r="DE15" i="14"/>
  <c r="DD15" i="14"/>
  <c r="DC15" i="14"/>
  <c r="DB15" i="14"/>
  <c r="DA15" i="14"/>
  <c r="CZ15" i="14"/>
  <c r="CY15" i="14"/>
  <c r="CX15" i="14"/>
  <c r="CW15" i="14"/>
  <c r="CV15" i="14"/>
  <c r="CU15" i="14"/>
  <c r="CT15" i="14"/>
  <c r="CS15" i="14"/>
  <c r="CR15" i="14"/>
  <c r="CQ15" i="14"/>
  <c r="CP15" i="14"/>
  <c r="CO15" i="14"/>
  <c r="CM15" i="14"/>
  <c r="CL15" i="14"/>
  <c r="CK15" i="14"/>
  <c r="CJ15" i="14"/>
  <c r="CI15" i="14"/>
  <c r="CH15" i="14"/>
  <c r="CG15" i="14"/>
  <c r="CF15" i="14"/>
  <c r="CE15" i="14"/>
  <c r="CD15" i="14"/>
  <c r="CC15" i="14"/>
  <c r="CB15" i="14"/>
  <c r="CA15" i="14"/>
  <c r="BZ15" i="14"/>
  <c r="BY15" i="14"/>
  <c r="BX15" i="14"/>
  <c r="BW15" i="14"/>
  <c r="BU15" i="14"/>
  <c r="BT15" i="14"/>
  <c r="BS15" i="14"/>
  <c r="BR15" i="14"/>
  <c r="BQ15" i="14"/>
  <c r="BP15" i="14"/>
  <c r="BO15" i="14"/>
  <c r="BN15" i="14"/>
  <c r="BM15" i="14"/>
  <c r="BL15" i="14"/>
  <c r="BK15" i="14"/>
  <c r="BJ15" i="14"/>
  <c r="BI15" i="14"/>
  <c r="BH15" i="14"/>
  <c r="BG15" i="14"/>
  <c r="BF15" i="14"/>
  <c r="BE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DW14" i="14"/>
  <c r="DV14" i="14"/>
  <c r="DU14" i="14"/>
  <c r="DT14" i="14"/>
  <c r="DS14" i="14"/>
  <c r="DR14" i="14"/>
  <c r="DQ14" i="14"/>
  <c r="DP14" i="14"/>
  <c r="DO14" i="14"/>
  <c r="DN14" i="14"/>
  <c r="DM14" i="14"/>
  <c r="DL14" i="14"/>
  <c r="DK14" i="14"/>
  <c r="DJ14" i="14"/>
  <c r="DI14" i="14"/>
  <c r="DH14" i="14"/>
  <c r="DG14" i="14"/>
  <c r="DE14" i="14"/>
  <c r="DD14" i="14"/>
  <c r="DC14" i="14"/>
  <c r="DB14" i="14"/>
  <c r="DA14" i="14"/>
  <c r="CZ14" i="14"/>
  <c r="CY14" i="14"/>
  <c r="CX14" i="14"/>
  <c r="CW14" i="14"/>
  <c r="CV14" i="14"/>
  <c r="CU14" i="14"/>
  <c r="CT14" i="14"/>
  <c r="CS14" i="14"/>
  <c r="CR14" i="14"/>
  <c r="CQ14" i="14"/>
  <c r="CP14" i="14"/>
  <c r="CO14" i="14"/>
  <c r="CM14" i="14"/>
  <c r="CL14" i="14"/>
  <c r="CK14" i="14"/>
  <c r="CJ14" i="14"/>
  <c r="CI14" i="14"/>
  <c r="CH14" i="14"/>
  <c r="CG14" i="14"/>
  <c r="CF14" i="14"/>
  <c r="CE14" i="14"/>
  <c r="CD14" i="14"/>
  <c r="CC14" i="14"/>
  <c r="CB14" i="14"/>
  <c r="CA14" i="14"/>
  <c r="BZ14" i="14"/>
  <c r="BY14" i="14"/>
  <c r="BX14" i="14"/>
  <c r="BW14" i="14"/>
  <c r="BU14" i="14"/>
  <c r="BT14" i="14"/>
  <c r="BS14" i="14"/>
  <c r="BR14" i="14"/>
  <c r="BQ14" i="14"/>
  <c r="BP14" i="14"/>
  <c r="BO14" i="14"/>
  <c r="BN14" i="14"/>
  <c r="BM14" i="14"/>
  <c r="BL14" i="14"/>
  <c r="BK14" i="14"/>
  <c r="BJ14" i="14"/>
  <c r="BI14" i="14"/>
  <c r="BH14" i="14"/>
  <c r="BG14" i="14"/>
  <c r="BF14" i="14"/>
  <c r="BE14" i="14"/>
  <c r="BC14" i="14"/>
  <c r="BB14" i="14"/>
  <c r="BA14" i="14"/>
  <c r="AZ14" i="14"/>
  <c r="AY14" i="14"/>
  <c r="AX14" i="14"/>
  <c r="AW14" i="14"/>
  <c r="AV14" i="14"/>
  <c r="AU14" i="14"/>
  <c r="AT14" i="14"/>
  <c r="AS14" i="14"/>
  <c r="AR14" i="14"/>
  <c r="AQ14" i="14"/>
  <c r="AP14" i="14"/>
  <c r="AO14" i="14"/>
  <c r="AN14" i="14"/>
  <c r="AM14" i="14"/>
  <c r="DW13" i="14"/>
  <c r="DV13" i="14"/>
  <c r="DU13" i="14"/>
  <c r="DT13" i="14"/>
  <c r="DS13" i="14"/>
  <c r="DR13" i="14"/>
  <c r="DQ13" i="14"/>
  <c r="DP13" i="14"/>
  <c r="DO13" i="14"/>
  <c r="DN13" i="14"/>
  <c r="DM13" i="14"/>
  <c r="DL13" i="14"/>
  <c r="DK13" i="14"/>
  <c r="DJ13" i="14"/>
  <c r="DI13" i="14"/>
  <c r="DH13" i="14"/>
  <c r="DG13" i="14"/>
  <c r="DE13" i="14"/>
  <c r="DD13" i="14"/>
  <c r="DC13" i="14"/>
  <c r="DB13" i="14"/>
  <c r="DA13" i="14"/>
  <c r="CZ13" i="14"/>
  <c r="CY13" i="14"/>
  <c r="CX13" i="14"/>
  <c r="CW13" i="14"/>
  <c r="CV13" i="14"/>
  <c r="CU13" i="14"/>
  <c r="CT13" i="14"/>
  <c r="CS13" i="14"/>
  <c r="CR13" i="14"/>
  <c r="CQ13" i="14"/>
  <c r="CP13" i="14"/>
  <c r="CO13" i="14"/>
  <c r="CM13" i="14"/>
  <c r="CL13" i="14"/>
  <c r="CK13" i="14"/>
  <c r="CJ13" i="14"/>
  <c r="CI13" i="14"/>
  <c r="CH13" i="14"/>
  <c r="CG13" i="14"/>
  <c r="CF13" i="14"/>
  <c r="CE13" i="14"/>
  <c r="CD13" i="14"/>
  <c r="CC13" i="14"/>
  <c r="CB13" i="14"/>
  <c r="CA13" i="14"/>
  <c r="BZ13" i="14"/>
  <c r="BY13" i="14"/>
  <c r="BX13" i="14"/>
  <c r="BW13" i="14"/>
  <c r="BU13" i="14"/>
  <c r="BT13" i="14"/>
  <c r="BS13" i="14"/>
  <c r="BR13" i="14"/>
  <c r="BQ13" i="14"/>
  <c r="BP13" i="14"/>
  <c r="BO13" i="14"/>
  <c r="BN13" i="14"/>
  <c r="BM13" i="14"/>
  <c r="BL13" i="14"/>
  <c r="BK13" i="14"/>
  <c r="BJ13" i="14"/>
  <c r="BI13" i="14"/>
  <c r="BH13" i="14"/>
  <c r="BG13" i="14"/>
  <c r="BF13" i="14"/>
  <c r="BE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DW12" i="14"/>
  <c r="DV12" i="14"/>
  <c r="DU12" i="14"/>
  <c r="DT12" i="14"/>
  <c r="DS12" i="14"/>
  <c r="DR12" i="14"/>
  <c r="DQ12" i="14"/>
  <c r="DP12" i="14"/>
  <c r="DO12" i="14"/>
  <c r="DN12" i="14"/>
  <c r="DM12" i="14"/>
  <c r="DL12" i="14"/>
  <c r="DK12" i="14"/>
  <c r="DJ12" i="14"/>
  <c r="DI12" i="14"/>
  <c r="DH12" i="14"/>
  <c r="DG12" i="14"/>
  <c r="DE12" i="14"/>
  <c r="DD12" i="14"/>
  <c r="DC12" i="14"/>
  <c r="DB12" i="14"/>
  <c r="DA12" i="14"/>
  <c r="CZ12" i="14"/>
  <c r="CY12" i="14"/>
  <c r="CX12" i="14"/>
  <c r="CW12" i="14"/>
  <c r="CV12" i="14"/>
  <c r="CU12" i="14"/>
  <c r="CT12" i="14"/>
  <c r="CS12" i="14"/>
  <c r="CR12" i="14"/>
  <c r="CQ12" i="14"/>
  <c r="CP12" i="14"/>
  <c r="CO12" i="14"/>
  <c r="CM12" i="14"/>
  <c r="CL12" i="14"/>
  <c r="CK12" i="14"/>
  <c r="CJ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H12" i="14"/>
  <c r="BG12" i="14"/>
  <c r="BF12" i="14"/>
  <c r="BE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DW11" i="14"/>
  <c r="DV11" i="14"/>
  <c r="DU11" i="14"/>
  <c r="DT11" i="14"/>
  <c r="DS11" i="14"/>
  <c r="DR11" i="14"/>
  <c r="DQ11" i="14"/>
  <c r="DP11" i="14"/>
  <c r="DO11" i="14"/>
  <c r="DN11" i="14"/>
  <c r="DM11" i="14"/>
  <c r="DL11" i="14"/>
  <c r="DK11" i="14"/>
  <c r="DJ11" i="14"/>
  <c r="DI11" i="14"/>
  <c r="DH11" i="14"/>
  <c r="DG11" i="14"/>
  <c r="DE11" i="14"/>
  <c r="DD11" i="14"/>
  <c r="DC11" i="14"/>
  <c r="DB11" i="14"/>
  <c r="DA11" i="14"/>
  <c r="CZ11" i="14"/>
  <c r="CY11" i="14"/>
  <c r="CX11" i="14"/>
  <c r="CW11" i="14"/>
  <c r="CV11" i="14"/>
  <c r="CU11" i="14"/>
  <c r="CT11" i="14"/>
  <c r="CS11" i="14"/>
  <c r="CR11" i="14"/>
  <c r="CQ11" i="14"/>
  <c r="CP11" i="14"/>
  <c r="CO11" i="14"/>
  <c r="CM11" i="14"/>
  <c r="CL11" i="14"/>
  <c r="CK11" i="14"/>
  <c r="CJ11" i="14"/>
  <c r="CI11" i="14"/>
  <c r="CH11" i="14"/>
  <c r="CG11" i="14"/>
  <c r="CF11" i="14"/>
  <c r="CE11" i="14"/>
  <c r="CD11" i="14"/>
  <c r="CC11" i="14"/>
  <c r="CB11" i="14"/>
  <c r="CA11" i="14"/>
  <c r="BZ11" i="14"/>
  <c r="BY11" i="14"/>
  <c r="BX11" i="14"/>
  <c r="BW11" i="14"/>
  <c r="BU11" i="14"/>
  <c r="BT11" i="14"/>
  <c r="BS11" i="14"/>
  <c r="BR11" i="14"/>
  <c r="BQ11" i="14"/>
  <c r="BP11" i="14"/>
  <c r="BO11" i="14"/>
  <c r="BN11" i="14"/>
  <c r="BM11" i="14"/>
  <c r="BL11" i="14"/>
  <c r="BK11" i="14"/>
  <c r="BJ11" i="14"/>
  <c r="BI11" i="14"/>
  <c r="BH11" i="14"/>
  <c r="BG11" i="14"/>
  <c r="BF11" i="14"/>
  <c r="BE11" i="14"/>
  <c r="BC11" i="14"/>
  <c r="BB11" i="14"/>
  <c r="BA11" i="14"/>
  <c r="AZ11" i="14"/>
  <c r="AY11" i="14"/>
  <c r="AX11" i="14"/>
  <c r="AW11" i="14"/>
  <c r="AV11" i="14"/>
  <c r="AU11" i="14"/>
  <c r="AT11" i="14"/>
  <c r="AS11" i="14"/>
  <c r="AR11" i="14"/>
  <c r="AQ11" i="14"/>
  <c r="AP11" i="14"/>
  <c r="AO11" i="14"/>
  <c r="AN11" i="14"/>
  <c r="AM11" i="14"/>
  <c r="DW10" i="14"/>
  <c r="DV10" i="14"/>
  <c r="DU10" i="14"/>
  <c r="DT10" i="14"/>
  <c r="DS10" i="14"/>
  <c r="DR10" i="14"/>
  <c r="DQ10" i="14"/>
  <c r="DP10" i="14"/>
  <c r="DO10" i="14"/>
  <c r="DN10" i="14"/>
  <c r="DM10" i="14"/>
  <c r="DL10" i="14"/>
  <c r="DK10" i="14"/>
  <c r="DJ10" i="14"/>
  <c r="DI10" i="14"/>
  <c r="DH10" i="14"/>
  <c r="DG10" i="14"/>
  <c r="DE10" i="14"/>
  <c r="DD10" i="14"/>
  <c r="DC10" i="14"/>
  <c r="DB10" i="14"/>
  <c r="DA10" i="14"/>
  <c r="CZ10" i="14"/>
  <c r="CY10" i="14"/>
  <c r="CX10" i="14"/>
  <c r="CW10" i="14"/>
  <c r="CV10" i="14"/>
  <c r="CU10" i="14"/>
  <c r="CT10" i="14"/>
  <c r="CS10" i="14"/>
  <c r="CR10" i="14"/>
  <c r="CQ10" i="14"/>
  <c r="CP10" i="14"/>
  <c r="CO10" i="14"/>
  <c r="CM10" i="14"/>
  <c r="CL10" i="14"/>
  <c r="CK10" i="14"/>
  <c r="CJ10" i="14"/>
  <c r="CI10" i="14"/>
  <c r="CH10" i="14"/>
  <c r="CG10" i="14"/>
  <c r="CF10" i="14"/>
  <c r="CE10" i="14"/>
  <c r="CD10" i="14"/>
  <c r="CC10" i="14"/>
  <c r="CB10" i="14"/>
  <c r="CA10" i="14"/>
  <c r="BZ10" i="14"/>
  <c r="BY10" i="14"/>
  <c r="BX10" i="14"/>
  <c r="BW10" i="14"/>
  <c r="BU10" i="14"/>
  <c r="BT10" i="14"/>
  <c r="BS10" i="14"/>
  <c r="BR10" i="14"/>
  <c r="BQ10" i="14"/>
  <c r="BP10" i="14"/>
  <c r="BO10" i="14"/>
  <c r="BN10" i="14"/>
  <c r="BM10" i="14"/>
  <c r="BL10" i="14"/>
  <c r="BK10" i="14"/>
  <c r="BJ10" i="14"/>
  <c r="BI10" i="14"/>
  <c r="BH10" i="14"/>
  <c r="BG10" i="14"/>
  <c r="BF10" i="14"/>
  <c r="BE10" i="14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DW9" i="14"/>
  <c r="DV9" i="14"/>
  <c r="DU9" i="14"/>
  <c r="DT9" i="14"/>
  <c r="DS9" i="14"/>
  <c r="DR9" i="14"/>
  <c r="DQ9" i="14"/>
  <c r="DP9" i="14"/>
  <c r="DO9" i="14"/>
  <c r="DN9" i="14"/>
  <c r="DM9" i="14"/>
  <c r="DL9" i="14"/>
  <c r="DK9" i="14"/>
  <c r="DJ9" i="14"/>
  <c r="DI9" i="14"/>
  <c r="DH9" i="14"/>
  <c r="DG9" i="14"/>
  <c r="DE9" i="14"/>
  <c r="DD9" i="14"/>
  <c r="DC9" i="14"/>
  <c r="DB9" i="14"/>
  <c r="DA9" i="14"/>
  <c r="CZ9" i="14"/>
  <c r="CY9" i="14"/>
  <c r="CX9" i="14"/>
  <c r="CW9" i="14"/>
  <c r="CV9" i="14"/>
  <c r="CU9" i="14"/>
  <c r="CT9" i="14"/>
  <c r="CS9" i="14"/>
  <c r="CR9" i="14"/>
  <c r="CQ9" i="14"/>
  <c r="CP9" i="14"/>
  <c r="CO9" i="14"/>
  <c r="CM9" i="14"/>
  <c r="CL9" i="14"/>
  <c r="CK9" i="14"/>
  <c r="CJ9" i="14"/>
  <c r="CI9" i="14"/>
  <c r="CH9" i="14"/>
  <c r="CG9" i="14"/>
  <c r="CF9" i="14"/>
  <c r="CE9" i="14"/>
  <c r="CD9" i="14"/>
  <c r="CC9" i="14"/>
  <c r="CB9" i="14"/>
  <c r="CA9" i="14"/>
  <c r="BZ9" i="14"/>
  <c r="BY9" i="14"/>
  <c r="BX9" i="14"/>
  <c r="BW9" i="14"/>
  <c r="BU9" i="14"/>
  <c r="BT9" i="14"/>
  <c r="BS9" i="14"/>
  <c r="BR9" i="14"/>
  <c r="BQ9" i="14"/>
  <c r="BP9" i="14"/>
  <c r="BO9" i="14"/>
  <c r="BN9" i="14"/>
  <c r="BM9" i="14"/>
  <c r="BL9" i="14"/>
  <c r="BK9" i="14"/>
  <c r="BJ9" i="14"/>
  <c r="BI9" i="14"/>
  <c r="BH9" i="14"/>
  <c r="BG9" i="14"/>
  <c r="BF9" i="14"/>
  <c r="BE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DW8" i="14"/>
  <c r="DV8" i="14"/>
  <c r="DU8" i="14"/>
  <c r="DT8" i="14"/>
  <c r="DS8" i="14"/>
  <c r="DR8" i="14"/>
  <c r="DQ8" i="14"/>
  <c r="DP8" i="14"/>
  <c r="DO8" i="14"/>
  <c r="DN8" i="14"/>
  <c r="DM8" i="14"/>
  <c r="DL8" i="14"/>
  <c r="DK8" i="14"/>
  <c r="DJ8" i="14"/>
  <c r="DI8" i="14"/>
  <c r="DH8" i="14"/>
  <c r="DG8" i="14"/>
  <c r="DE8" i="14"/>
  <c r="DD8" i="14"/>
  <c r="DC8" i="14"/>
  <c r="DB8" i="14"/>
  <c r="DA8" i="14"/>
  <c r="CZ8" i="14"/>
  <c r="CY8" i="14"/>
  <c r="CX8" i="14"/>
  <c r="CW8" i="14"/>
  <c r="CV8" i="14"/>
  <c r="CU8" i="14"/>
  <c r="CT8" i="14"/>
  <c r="CS8" i="14"/>
  <c r="CR8" i="14"/>
  <c r="CQ8" i="14"/>
  <c r="CP8" i="14"/>
  <c r="CO8" i="14"/>
  <c r="CM8" i="14"/>
  <c r="CL8" i="14"/>
  <c r="CK8" i="14"/>
  <c r="CJ8" i="14"/>
  <c r="CI8" i="14"/>
  <c r="CH8" i="14"/>
  <c r="CG8" i="14"/>
  <c r="CF8" i="14"/>
  <c r="CE8" i="14"/>
  <c r="CD8" i="14"/>
  <c r="CC8" i="14"/>
  <c r="CB8" i="14"/>
  <c r="CA8" i="14"/>
  <c r="BZ8" i="14"/>
  <c r="BY8" i="14"/>
  <c r="BX8" i="14"/>
  <c r="BW8" i="14"/>
  <c r="BU8" i="14"/>
  <c r="BT8" i="14"/>
  <c r="BS8" i="14"/>
  <c r="BR8" i="14"/>
  <c r="BQ8" i="14"/>
  <c r="BP8" i="14"/>
  <c r="BO8" i="14"/>
  <c r="BN8" i="14"/>
  <c r="BM8" i="14"/>
  <c r="BL8" i="14"/>
  <c r="BK8" i="14"/>
  <c r="BJ8" i="14"/>
  <c r="BI8" i="14"/>
  <c r="BH8" i="14"/>
  <c r="BG8" i="14"/>
  <c r="BF8" i="14"/>
  <c r="BE8" i="14"/>
  <c r="BC8" i="14"/>
  <c r="BB8" i="14"/>
  <c r="BA8" i="14"/>
  <c r="AZ8" i="14"/>
  <c r="AY8" i="14"/>
  <c r="AX8" i="14"/>
  <c r="AW8" i="14"/>
  <c r="AV8" i="14"/>
  <c r="AU8" i="14"/>
  <c r="AT8" i="14"/>
  <c r="AS8" i="14"/>
  <c r="AR8" i="14"/>
  <c r="AQ8" i="14"/>
  <c r="AP8" i="14"/>
  <c r="AO8" i="14"/>
  <c r="AN8" i="14"/>
  <c r="AM8" i="14"/>
  <c r="DW7" i="14"/>
  <c r="DV7" i="14"/>
  <c r="DU7" i="14"/>
  <c r="DT7" i="14"/>
  <c r="DS7" i="14"/>
  <c r="DR7" i="14"/>
  <c r="DQ7" i="14"/>
  <c r="DP7" i="14"/>
  <c r="DO7" i="14"/>
  <c r="DN7" i="14"/>
  <c r="DM7" i="14"/>
  <c r="DL7" i="14"/>
  <c r="DK7" i="14"/>
  <c r="DJ7" i="14"/>
  <c r="DI7" i="14"/>
  <c r="DH7" i="14"/>
  <c r="DG7" i="14"/>
  <c r="DE7" i="14"/>
  <c r="DD7" i="14"/>
  <c r="DC7" i="14"/>
  <c r="DB7" i="14"/>
  <c r="DA7" i="14"/>
  <c r="CZ7" i="14"/>
  <c r="CY7" i="14"/>
  <c r="CX7" i="14"/>
  <c r="CW7" i="14"/>
  <c r="CV7" i="14"/>
  <c r="CU7" i="14"/>
  <c r="CT7" i="14"/>
  <c r="CS7" i="14"/>
  <c r="CR7" i="14"/>
  <c r="CQ7" i="14"/>
  <c r="CP7" i="14"/>
  <c r="CO7" i="14"/>
  <c r="CM7" i="14"/>
  <c r="CL7" i="14"/>
  <c r="CK7" i="14"/>
  <c r="CJ7" i="14"/>
  <c r="CI7" i="14"/>
  <c r="CH7" i="14"/>
  <c r="CG7" i="14"/>
  <c r="CF7" i="14"/>
  <c r="CE7" i="14"/>
  <c r="CD7" i="14"/>
  <c r="CC7" i="14"/>
  <c r="CB7" i="14"/>
  <c r="CA7" i="14"/>
  <c r="BZ7" i="14"/>
  <c r="BY7" i="14"/>
  <c r="BX7" i="14"/>
  <c r="BW7" i="14"/>
  <c r="BU7" i="14"/>
  <c r="BT7" i="14"/>
  <c r="BS7" i="14"/>
  <c r="BR7" i="14"/>
  <c r="BQ7" i="14"/>
  <c r="BP7" i="14"/>
  <c r="BO7" i="14"/>
  <c r="BN7" i="14"/>
  <c r="BM7" i="14"/>
  <c r="BL7" i="14"/>
  <c r="BK7" i="14"/>
  <c r="BJ7" i="14"/>
  <c r="BI7" i="14"/>
  <c r="BH7" i="14"/>
  <c r="BG7" i="14"/>
  <c r="BF7" i="14"/>
  <c r="BE7" i="14"/>
  <c r="BC7" i="14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DW6" i="14"/>
  <c r="DV6" i="14"/>
  <c r="DU6" i="14"/>
  <c r="DT6" i="14"/>
  <c r="DS6" i="14"/>
  <c r="DR6" i="14"/>
  <c r="DQ6" i="14"/>
  <c r="DP6" i="14"/>
  <c r="DO6" i="14"/>
  <c r="DN6" i="14"/>
  <c r="DM6" i="14"/>
  <c r="DL6" i="14"/>
  <c r="DK6" i="14"/>
  <c r="DJ6" i="14"/>
  <c r="DI6" i="14"/>
  <c r="DH6" i="14"/>
  <c r="DG6" i="14"/>
  <c r="DE6" i="14"/>
  <c r="DD6" i="14"/>
  <c r="DC6" i="14"/>
  <c r="DB6" i="14"/>
  <c r="DA6" i="14"/>
  <c r="CZ6" i="14"/>
  <c r="CY6" i="14"/>
  <c r="CX6" i="14"/>
  <c r="CW6" i="14"/>
  <c r="CV6" i="14"/>
  <c r="CU6" i="14"/>
  <c r="CT6" i="14"/>
  <c r="CS6" i="14"/>
  <c r="CR6" i="14"/>
  <c r="CQ6" i="14"/>
  <c r="CP6" i="14"/>
  <c r="CO6" i="14"/>
  <c r="CM6" i="14"/>
  <c r="CL6" i="14"/>
  <c r="CK6" i="14"/>
  <c r="CJ6" i="14"/>
  <c r="CI6" i="14"/>
  <c r="CH6" i="14"/>
  <c r="CG6" i="14"/>
  <c r="CF6" i="14"/>
  <c r="CE6" i="14"/>
  <c r="CD6" i="14"/>
  <c r="CC6" i="14"/>
  <c r="CB6" i="14"/>
  <c r="CA6" i="14"/>
  <c r="BZ6" i="14"/>
  <c r="BY6" i="14"/>
  <c r="BX6" i="14"/>
  <c r="BW6" i="14"/>
  <c r="BU6" i="14"/>
  <c r="BT6" i="14"/>
  <c r="BS6" i="14"/>
  <c r="BR6" i="14"/>
  <c r="BQ6" i="14"/>
  <c r="BP6" i="14"/>
  <c r="BO6" i="14"/>
  <c r="BN6" i="14"/>
  <c r="BM6" i="14"/>
  <c r="BL6" i="14"/>
  <c r="BK6" i="14"/>
  <c r="BJ6" i="14"/>
  <c r="BI6" i="14"/>
  <c r="BH6" i="14"/>
  <c r="BG6" i="14"/>
  <c r="BF6" i="14"/>
  <c r="BE6" i="14"/>
  <c r="BC6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DW5" i="14"/>
  <c r="DV5" i="14"/>
  <c r="DU5" i="14"/>
  <c r="DT5" i="14"/>
  <c r="DS5" i="14"/>
  <c r="DR5" i="14"/>
  <c r="DQ5" i="14"/>
  <c r="DP5" i="14"/>
  <c r="DO5" i="14"/>
  <c r="DN5" i="14"/>
  <c r="DM5" i="14"/>
  <c r="DL5" i="14"/>
  <c r="DK5" i="14"/>
  <c r="DJ5" i="14"/>
  <c r="DI5" i="14"/>
  <c r="DH5" i="14"/>
  <c r="DG5" i="14"/>
  <c r="DE5" i="14"/>
  <c r="DD5" i="14"/>
  <c r="DC5" i="14"/>
  <c r="DB5" i="14"/>
  <c r="DA5" i="14"/>
  <c r="CZ5" i="14"/>
  <c r="CY5" i="14"/>
  <c r="CX5" i="14"/>
  <c r="CW5" i="14"/>
  <c r="CV5" i="14"/>
  <c r="CU5" i="14"/>
  <c r="CT5" i="14"/>
  <c r="CS5" i="14"/>
  <c r="CR5" i="14"/>
  <c r="CQ5" i="14"/>
  <c r="CP5" i="14"/>
  <c r="CO5" i="14"/>
  <c r="CM5" i="14"/>
  <c r="CL5" i="14"/>
  <c r="CK5" i="14"/>
  <c r="CJ5" i="14"/>
  <c r="CI5" i="14"/>
  <c r="CH5" i="14"/>
  <c r="CG5" i="14"/>
  <c r="CF5" i="14"/>
  <c r="CE5" i="14"/>
  <c r="CD5" i="14"/>
  <c r="CC5" i="14"/>
  <c r="CB5" i="14"/>
  <c r="CA5" i="14"/>
  <c r="BZ5" i="14"/>
  <c r="BY5" i="14"/>
  <c r="BX5" i="14"/>
  <c r="BW5" i="14"/>
  <c r="BU5" i="14"/>
  <c r="BT5" i="14"/>
  <c r="BS5" i="14"/>
  <c r="BR5" i="14"/>
  <c r="BQ5" i="14"/>
  <c r="BP5" i="14"/>
  <c r="BO5" i="14"/>
  <c r="BN5" i="14"/>
  <c r="BM5" i="14"/>
  <c r="BL5" i="14"/>
  <c r="BK5" i="14"/>
  <c r="BJ5" i="14"/>
  <c r="BI5" i="14"/>
  <c r="BH5" i="14"/>
  <c r="BG5" i="14"/>
  <c r="BF5" i="14"/>
  <c r="BE5" i="14"/>
  <c r="BC5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DW4" i="14"/>
  <c r="DV4" i="14"/>
  <c r="DU4" i="14"/>
  <c r="DT4" i="14"/>
  <c r="DS4" i="14"/>
  <c r="DR4" i="14"/>
  <c r="DQ4" i="14"/>
  <c r="DP4" i="14"/>
  <c r="DO4" i="14"/>
  <c r="DN4" i="14"/>
  <c r="DM4" i="14"/>
  <c r="DL4" i="14"/>
  <c r="DK4" i="14"/>
  <c r="DJ4" i="14"/>
  <c r="DI4" i="14"/>
  <c r="DH4" i="14"/>
  <c r="DG4" i="14"/>
  <c r="DE4" i="14"/>
  <c r="DD4" i="14"/>
  <c r="DC4" i="14"/>
  <c r="DB4" i="14"/>
  <c r="DA4" i="14"/>
  <c r="CZ4" i="14"/>
  <c r="CY4" i="14"/>
  <c r="CX4" i="14"/>
  <c r="CW4" i="14"/>
  <c r="CV4" i="14"/>
  <c r="CU4" i="14"/>
  <c r="CT4" i="14"/>
  <c r="CS4" i="14"/>
  <c r="CR4" i="14"/>
  <c r="CQ4" i="14"/>
  <c r="CP4" i="14"/>
  <c r="CO4" i="14"/>
  <c r="CM4" i="14"/>
  <c r="CL4" i="14"/>
  <c r="CK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X4" i="14"/>
  <c r="BW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DW3" i="14"/>
  <c r="DV3" i="14"/>
  <c r="DU3" i="14"/>
  <c r="DT3" i="14"/>
  <c r="DS3" i="14"/>
  <c r="DR3" i="14"/>
  <c r="DQ3" i="14"/>
  <c r="DP3" i="14"/>
  <c r="DO3" i="14"/>
  <c r="DN3" i="14"/>
  <c r="DM3" i="14"/>
  <c r="DL3" i="14"/>
  <c r="DK3" i="14"/>
  <c r="DJ3" i="14"/>
  <c r="DI3" i="14"/>
  <c r="DH3" i="14"/>
  <c r="DG3" i="14"/>
  <c r="DG42" i="14" s="1"/>
  <c r="BE55" i="14" s="1"/>
  <c r="DE3" i="14"/>
  <c r="DD3" i="14"/>
  <c r="DC3" i="14"/>
  <c r="DB3" i="14"/>
  <c r="DA3" i="14"/>
  <c r="CZ3" i="14"/>
  <c r="CY3" i="14"/>
  <c r="CX3" i="14"/>
  <c r="CW3" i="14"/>
  <c r="CV3" i="14"/>
  <c r="CU3" i="14"/>
  <c r="CT3" i="14"/>
  <c r="CS3" i="14"/>
  <c r="CR3" i="14"/>
  <c r="CQ3" i="14"/>
  <c r="CP3" i="14"/>
  <c r="CO3" i="14"/>
  <c r="CO42" i="14" s="1"/>
  <c r="BD54" i="14" s="1"/>
  <c r="CM3" i="14"/>
  <c r="CL3" i="14"/>
  <c r="CK3" i="14"/>
  <c r="CJ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W42" i="14" s="1"/>
  <c r="BE54" i="14" s="1"/>
  <c r="BE56" i="14" s="1"/>
  <c r="BU3" i="14"/>
  <c r="BU39" i="14" s="1"/>
  <c r="BT3" i="14"/>
  <c r="BT39" i="14" s="1"/>
  <c r="BS3" i="14"/>
  <c r="BS39" i="14" s="1"/>
  <c r="BR3" i="14"/>
  <c r="BQ3" i="14"/>
  <c r="BP3" i="14"/>
  <c r="BO3" i="14"/>
  <c r="BN3" i="14"/>
  <c r="BM3" i="14"/>
  <c r="BL3" i="14"/>
  <c r="BK3" i="14"/>
  <c r="BJ3" i="14"/>
  <c r="BI3" i="14"/>
  <c r="BH3" i="14"/>
  <c r="BG3" i="14"/>
  <c r="BF3" i="14"/>
  <c r="BE3" i="14"/>
  <c r="BE42" i="14" s="1"/>
  <c r="BD55" i="14" s="1"/>
  <c r="BF55" i="14" s="1"/>
  <c r="BC3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M42" i="14" s="1"/>
  <c r="Y3" i="9" a="1"/>
  <c r="Y3" i="9" s="1"/>
  <c r="Y4" i="9" a="1"/>
  <c r="Y4" i="9" s="1"/>
  <c r="Y5" i="9" a="1"/>
  <c r="Y5" i="9" s="1"/>
  <c r="Y6" i="9" a="1"/>
  <c r="Y6" i="9"/>
  <c r="Y7" i="9" a="1"/>
  <c r="Y7" i="9" s="1"/>
  <c r="Y8" i="9" a="1"/>
  <c r="Y8" i="9" s="1"/>
  <c r="Y9" i="9" a="1"/>
  <c r="Y9" i="9" s="1"/>
  <c r="Y10" i="9" a="1"/>
  <c r="Y10" i="9" s="1"/>
  <c r="Y11" i="9" a="1"/>
  <c r="Y11" i="9" s="1"/>
  <c r="Y12" i="9" a="1"/>
  <c r="Y12" i="9" s="1"/>
  <c r="Y13" i="9" a="1"/>
  <c r="Y13" i="9" s="1"/>
  <c r="Y14" i="9" a="1"/>
  <c r="Y14" i="9" s="1"/>
  <c r="Y15" i="9" a="1"/>
  <c r="Y15" i="9" s="1"/>
  <c r="Y16" i="9" a="1"/>
  <c r="Y16" i="9" s="1"/>
  <c r="Y17" i="9" a="1"/>
  <c r="Y17" i="9" s="1"/>
  <c r="Y18" i="9" a="1"/>
  <c r="Y18" i="9" s="1"/>
  <c r="Y19" i="9" a="1"/>
  <c r="Y19" i="9" s="1"/>
  <c r="Y20" i="9" a="1"/>
  <c r="Y20" i="9" s="1"/>
  <c r="Y21" i="9" a="1"/>
  <c r="Y21" i="9" s="1"/>
  <c r="Y22" i="9" a="1"/>
  <c r="Y22" i="9" s="1"/>
  <c r="Y23" i="9" a="1"/>
  <c r="Y23" i="9" s="1"/>
  <c r="Y24" i="9" a="1"/>
  <c r="Y24" i="9" s="1"/>
  <c r="Y25" i="9" a="1"/>
  <c r="Y25" i="9" s="1"/>
  <c r="Y26" i="9" a="1"/>
  <c r="Y26" i="9" s="1"/>
  <c r="Y27" i="9" a="1"/>
  <c r="Y27" i="9" s="1"/>
  <c r="Y28" i="9" a="1"/>
  <c r="Y28" i="9" s="1"/>
  <c r="Y29" i="9" a="1"/>
  <c r="Y29" i="9" s="1"/>
  <c r="Y30" i="9" a="1"/>
  <c r="Y30" i="9" s="1"/>
  <c r="Y31" i="9" a="1"/>
  <c r="Y31" i="9" s="1"/>
  <c r="Y32" i="9" a="1"/>
  <c r="Y32" i="9" s="1"/>
  <c r="Y33" i="9" a="1"/>
  <c r="Y33" i="9" s="1"/>
  <c r="Y34" i="9" a="1"/>
  <c r="Y34" i="9" s="1"/>
  <c r="Y35" i="9" a="1"/>
  <c r="Y35" i="9" s="1"/>
  <c r="Y36" i="9" a="1"/>
  <c r="Y36" i="9" s="1"/>
  <c r="Y37" i="9" a="1"/>
  <c r="Y37" i="9" s="1"/>
  <c r="Y38" i="9" a="1"/>
  <c r="Y38" i="9" s="1"/>
  <c r="Y39" i="9" a="1"/>
  <c r="Y39" i="9" s="1"/>
  <c r="Y40" i="9" a="1"/>
  <c r="Y40" i="9" s="1"/>
  <c r="Y41" i="9" a="1"/>
  <c r="Y41" i="9" s="1"/>
  <c r="Y42" i="9" a="1"/>
  <c r="Y42" i="9" s="1"/>
  <c r="Y43" i="9" a="1"/>
  <c r="Y43" i="9" s="1"/>
  <c r="Y44" i="9" a="1"/>
  <c r="Y44" i="9" s="1"/>
  <c r="Y45" i="9" a="1"/>
  <c r="Y45" i="9" s="1"/>
  <c r="Y46" i="9" a="1"/>
  <c r="Y46" i="9" s="1"/>
  <c r="Y47" i="9" a="1"/>
  <c r="Y47" i="9" s="1"/>
  <c r="Y48" i="9" a="1"/>
  <c r="Y48" i="9" s="1"/>
  <c r="Y49" i="9" a="1"/>
  <c r="Y49" i="9" s="1"/>
  <c r="Y50" i="9" a="1"/>
  <c r="Y50" i="9" s="1"/>
  <c r="Y51" i="9" a="1"/>
  <c r="Y51" i="9" s="1"/>
  <c r="Y2" i="9" a="1"/>
  <c r="Y2" i="9" s="1"/>
  <c r="P37" i="13" a="1"/>
  <c r="P37" i="13" s="1"/>
  <c r="S37" i="11" a="1"/>
  <c r="S37" i="11" s="1"/>
  <c r="P36" i="13" a="1"/>
  <c r="P36" i="13" s="1"/>
  <c r="S36" i="11" a="1"/>
  <c r="S36" i="11" s="1"/>
  <c r="P35" i="13" a="1"/>
  <c r="P35" i="13" s="1"/>
  <c r="S35" i="11" a="1"/>
  <c r="S35" i="11" s="1"/>
  <c r="P34" i="13" a="1"/>
  <c r="P34" i="13" s="1"/>
  <c r="P33" i="13" a="1"/>
  <c r="P33" i="13" s="1"/>
  <c r="P32" i="13" a="1"/>
  <c r="P32" i="13" s="1"/>
  <c r="P31" i="13" a="1"/>
  <c r="P31" i="13" s="1"/>
  <c r="P30" i="13" a="1"/>
  <c r="P30" i="13" s="1"/>
  <c r="P29" i="13" a="1"/>
  <c r="P29" i="13" s="1"/>
  <c r="P28" i="13" a="1"/>
  <c r="P28" i="13" s="1"/>
  <c r="P27" i="13" a="1"/>
  <c r="P27" i="13" s="1"/>
  <c r="P26" i="13" a="1"/>
  <c r="P26" i="13" s="1"/>
  <c r="P25" i="13" a="1"/>
  <c r="P25" i="13" s="1"/>
  <c r="P24" i="13" a="1"/>
  <c r="P24" i="13" s="1"/>
  <c r="P23" i="13" a="1"/>
  <c r="P23" i="13" s="1"/>
  <c r="P22" i="13" a="1"/>
  <c r="P22" i="13" s="1"/>
  <c r="P21" i="13" a="1"/>
  <c r="P21" i="13" s="1"/>
  <c r="P20" i="13" a="1"/>
  <c r="P20" i="13" s="1"/>
  <c r="P19" i="13" a="1"/>
  <c r="P19" i="13" s="1"/>
  <c r="P18" i="13" a="1"/>
  <c r="P18" i="13" s="1"/>
  <c r="P17" i="13" a="1"/>
  <c r="P17" i="13" s="1"/>
  <c r="P16" i="13" a="1"/>
  <c r="P16" i="13" s="1"/>
  <c r="P15" i="13" a="1"/>
  <c r="P15" i="13" s="1"/>
  <c r="P14" i="13" a="1"/>
  <c r="P14" i="13" s="1"/>
  <c r="P13" i="13" a="1"/>
  <c r="P13" i="13" s="1"/>
  <c r="P12" i="13" a="1"/>
  <c r="P12" i="13" s="1"/>
  <c r="P11" i="13" a="1"/>
  <c r="P11" i="13" s="1"/>
  <c r="P10" i="13" a="1"/>
  <c r="P10" i="13" s="1"/>
  <c r="P9" i="13" a="1"/>
  <c r="P9" i="13" s="1"/>
  <c r="P8" i="13" a="1"/>
  <c r="P8" i="13" s="1"/>
  <c r="P7" i="13" a="1"/>
  <c r="P7" i="13" s="1"/>
  <c r="P6" i="13" a="1"/>
  <c r="P6" i="13" s="1"/>
  <c r="P5" i="13" a="1"/>
  <c r="P5" i="13" s="1"/>
  <c r="P4" i="13" a="1"/>
  <c r="P4" i="13" s="1"/>
  <c r="P3" i="13" a="1"/>
  <c r="P3" i="13" s="1"/>
  <c r="P2" i="13" a="1"/>
  <c r="P2" i="13" s="1"/>
  <c r="S34" i="11" a="1"/>
  <c r="S34" i="11" s="1"/>
  <c r="S33" i="11" a="1"/>
  <c r="S33" i="11" s="1"/>
  <c r="S32" i="11" a="1"/>
  <c r="S32" i="11" s="1"/>
  <c r="S31" i="11" a="1"/>
  <c r="S31" i="11" s="1"/>
  <c r="S30" i="11" a="1"/>
  <c r="S30" i="11" s="1"/>
  <c r="S26" i="11" a="1"/>
  <c r="S26" i="11" s="1"/>
  <c r="S27" i="11" a="1"/>
  <c r="S27" i="11" s="1"/>
  <c r="S28" i="11" a="1"/>
  <c r="S28" i="11" s="1"/>
  <c r="S29" i="11" a="1"/>
  <c r="S29" i="11" s="1"/>
  <c r="S3" i="11" a="1"/>
  <c r="S3" i="11" s="1"/>
  <c r="S4" i="11" a="1"/>
  <c r="S4" i="11" s="1"/>
  <c r="S5" i="11" a="1"/>
  <c r="S5" i="11" s="1"/>
  <c r="S6" i="11" a="1"/>
  <c r="S6" i="11" s="1"/>
  <c r="S7" i="11" a="1"/>
  <c r="S7" i="11" s="1"/>
  <c r="S8" i="11" a="1"/>
  <c r="S8" i="11" s="1"/>
  <c r="S9" i="11" a="1"/>
  <c r="S9" i="11" s="1"/>
  <c r="S10" i="11" a="1"/>
  <c r="S10" i="11" s="1"/>
  <c r="S11" i="11" a="1"/>
  <c r="S11" i="11" s="1"/>
  <c r="S12" i="11" a="1"/>
  <c r="S12" i="11" s="1"/>
  <c r="S13" i="11" a="1"/>
  <c r="S13" i="11" s="1"/>
  <c r="S14" i="11" a="1"/>
  <c r="S14" i="11" s="1"/>
  <c r="S15" i="11" a="1"/>
  <c r="S15" i="11" s="1"/>
  <c r="S16" i="11" a="1"/>
  <c r="S16" i="11" s="1"/>
  <c r="S17" i="11" a="1"/>
  <c r="S17" i="11" s="1"/>
  <c r="S18" i="11" a="1"/>
  <c r="S18" i="11" s="1"/>
  <c r="S19" i="11" a="1"/>
  <c r="S19" i="11" s="1"/>
  <c r="S20" i="11" a="1"/>
  <c r="S20" i="11" s="1"/>
  <c r="S21" i="11" a="1"/>
  <c r="S21" i="11" s="1"/>
  <c r="S22" i="11" a="1"/>
  <c r="S22" i="11" s="1"/>
  <c r="S23" i="11" a="1"/>
  <c r="S23" i="11" s="1"/>
  <c r="S24" i="11" a="1"/>
  <c r="S24" i="11" s="1"/>
  <c r="S25" i="11" a="1"/>
  <c r="S25" i="11" s="1"/>
  <c r="S2" i="11" a="1"/>
  <c r="S2" i="11" s="1"/>
  <c r="V25" i="8" a="1"/>
  <c r="V25" i="8" s="1"/>
  <c r="W25" i="8" s="1" a="1"/>
  <c r="W25" i="8" s="1"/>
  <c r="X25" i="8" s="1"/>
  <c r="V43" i="8" a="1"/>
  <c r="V43" i="8" s="1"/>
  <c r="W43" i="8" s="1" a="1"/>
  <c r="W43" i="8" s="1"/>
  <c r="X43" i="8" s="1"/>
  <c r="C55" i="6"/>
  <c r="C35" i="6"/>
  <c r="B35" i="6"/>
  <c r="B55" i="6"/>
  <c r="V42" i="8" a="1"/>
  <c r="V42" i="8" s="1"/>
  <c r="W42" i="8" s="1" a="1"/>
  <c r="W42" i="8" s="1"/>
  <c r="X42" i="8" s="1"/>
  <c r="V24" i="8" a="1"/>
  <c r="V24" i="8" s="1"/>
  <c r="W24" i="8" s="1" a="1"/>
  <c r="W24" i="8" s="1"/>
  <c r="X24" i="8" s="1"/>
  <c r="V23" i="8" a="1"/>
  <c r="V23" i="8" s="1"/>
  <c r="W23" i="8" s="1" a="1"/>
  <c r="W23" i="8" s="1"/>
  <c r="X23" i="8" s="1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D30" i="8"/>
  <c r="A30" i="8"/>
  <c r="V19" i="8" a="1"/>
  <c r="V19" i="8" s="1"/>
  <c r="V18" i="8" a="1"/>
  <c r="V18" i="8" s="1"/>
  <c r="V21" i="8" a="1"/>
  <c r="V21" i="8" s="1"/>
  <c r="W21" i="8" s="1" a="1"/>
  <c r="W21" i="8" s="1"/>
  <c r="X21" i="8" s="1"/>
  <c r="V22" i="8" a="1"/>
  <c r="V22" i="8" s="1"/>
  <c r="W22" i="8" s="1" a="1"/>
  <c r="W22" i="8" s="1"/>
  <c r="X22" i="8" s="1"/>
  <c r="V27" i="8" a="1"/>
  <c r="V27" i="8" s="1"/>
  <c r="W27" i="8" s="1" a="1"/>
  <c r="W27" i="8" s="1"/>
  <c r="X27" i="8" s="1"/>
  <c r="V40" i="8" a="1"/>
  <c r="V40" i="8" s="1"/>
  <c r="V17" i="8" a="1"/>
  <c r="V17" i="8" s="1"/>
  <c r="V16" i="8" a="1"/>
  <c r="V16" i="8" s="1"/>
  <c r="V15" i="8" a="1"/>
  <c r="V15" i="8" s="1"/>
  <c r="V14" i="8" a="1"/>
  <c r="V14" i="8" s="1"/>
  <c r="V13" i="8" a="1"/>
  <c r="V13" i="8" s="1"/>
  <c r="V38" i="8" a="1"/>
  <c r="V38" i="8" s="1"/>
  <c r="V12" i="8" a="1"/>
  <c r="V12" i="8" s="1"/>
  <c r="V11" i="8" a="1"/>
  <c r="V11" i="8" s="1"/>
  <c r="V10" i="8" a="1"/>
  <c r="V10" i="8" s="1"/>
  <c r="V9" i="8" a="1"/>
  <c r="V9" i="8" s="1"/>
  <c r="V8" i="8" a="1"/>
  <c r="V8" i="8" s="1"/>
  <c r="V7" i="8" a="1"/>
  <c r="V7" i="8" s="1"/>
  <c r="V6" i="8" a="1"/>
  <c r="V6" i="8" s="1"/>
  <c r="V5" i="8" a="1"/>
  <c r="V5" i="8" s="1"/>
  <c r="V4" i="8" a="1"/>
  <c r="V4" i="8" s="1"/>
  <c r="V3" i="8" a="1"/>
  <c r="V3" i="8" s="1"/>
  <c r="V2" i="8" a="1"/>
  <c r="V2" i="8" s="1"/>
  <c r="D3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  <c r="A34" i="6"/>
  <c r="M70" i="6" s="1"/>
  <c r="AB62" i="6" a="1"/>
  <c r="AB62" i="6" s="1"/>
  <c r="AC62" i="6" s="1" a="1"/>
  <c r="AC62" i="6" s="1"/>
  <c r="AA59" i="6" a="1"/>
  <c r="AA59" i="6" s="1"/>
  <c r="Z59" i="6" a="1"/>
  <c r="Z59" i="6" s="1"/>
  <c r="Y59" i="6" a="1"/>
  <c r="Y59" i="6" s="1"/>
  <c r="X59" i="6" a="1"/>
  <c r="X59" i="6" s="1"/>
  <c r="W59" i="6" a="1"/>
  <c r="W59" i="6" s="1"/>
  <c r="V59" i="6" a="1"/>
  <c r="V59" i="6" s="1"/>
  <c r="U59" i="6" a="1"/>
  <c r="U59" i="6" s="1"/>
  <c r="T59" i="6" a="1"/>
  <c r="T59" i="6" s="1"/>
  <c r="S59" i="6" a="1"/>
  <c r="S59" i="6" s="1"/>
  <c r="R59" i="6" a="1"/>
  <c r="R59" i="6" s="1"/>
  <c r="Q59" i="6" a="1"/>
  <c r="Q59" i="6" s="1"/>
  <c r="P59" i="6" a="1"/>
  <c r="P59" i="6" s="1"/>
  <c r="O59" i="6" a="1"/>
  <c r="O59" i="6" s="1"/>
  <c r="N59" i="6" a="1"/>
  <c r="N59" i="6" s="1"/>
  <c r="M59" i="6" a="1"/>
  <c r="M59" i="6" s="1"/>
  <c r="L59" i="6" a="1"/>
  <c r="L59" i="6" s="1"/>
  <c r="K59" i="6" a="1"/>
  <c r="K59" i="6" s="1"/>
  <c r="J59" i="6" a="1"/>
  <c r="J59" i="6" s="1"/>
  <c r="I59" i="6" a="1"/>
  <c r="I59" i="6" s="1"/>
  <c r="H59" i="6" a="1"/>
  <c r="H59" i="6" s="1"/>
  <c r="G59" i="6" a="1"/>
  <c r="G59" i="6" s="1"/>
  <c r="F59" i="6" a="1"/>
  <c r="F59" i="6" s="1"/>
  <c r="AA56" i="6" a="1"/>
  <c r="AA56" i="6" s="1"/>
  <c r="AA57" i="6" s="1"/>
  <c r="Z56" i="6" a="1"/>
  <c r="Z56" i="6" s="1"/>
  <c r="Y56" i="6" a="1"/>
  <c r="Y56" i="6" s="1"/>
  <c r="X56" i="6" a="1"/>
  <c r="X56" i="6" s="1"/>
  <c r="W56" i="6" a="1"/>
  <c r="W56" i="6" s="1"/>
  <c r="V56" i="6" a="1"/>
  <c r="V56" i="6" s="1"/>
  <c r="U56" i="6" a="1"/>
  <c r="U56" i="6" s="1"/>
  <c r="T56" i="6" a="1"/>
  <c r="T56" i="6" s="1"/>
  <c r="S56" i="6" a="1"/>
  <c r="S56" i="6" s="1"/>
  <c r="S57" i="6" s="1"/>
  <c r="R56" i="6" a="1"/>
  <c r="R56" i="6" s="1"/>
  <c r="Q56" i="6" a="1"/>
  <c r="Q56" i="6" s="1"/>
  <c r="P56" i="6" a="1"/>
  <c r="P56" i="6" s="1"/>
  <c r="O56" i="6" a="1"/>
  <c r="O56" i="6" s="1"/>
  <c r="N56" i="6" a="1"/>
  <c r="N56" i="6" s="1"/>
  <c r="M56" i="6" a="1"/>
  <c r="M56" i="6" s="1"/>
  <c r="L56" i="6" a="1"/>
  <c r="L56" i="6" s="1"/>
  <c r="K56" i="6" a="1"/>
  <c r="K56" i="6" s="1"/>
  <c r="K57" i="6" s="1"/>
  <c r="J56" i="6" a="1"/>
  <c r="J56" i="6" s="1"/>
  <c r="I56" i="6" a="1"/>
  <c r="I56" i="6" s="1"/>
  <c r="H56" i="6" a="1"/>
  <c r="H56" i="6" s="1"/>
  <c r="G56" i="6" a="1"/>
  <c r="G56" i="6" s="1"/>
  <c r="F56" i="6" a="1"/>
  <c r="F56" i="6" s="1"/>
  <c r="A55" i="6"/>
  <c r="C54" i="6"/>
  <c r="B54" i="6"/>
  <c r="AB53" i="6"/>
  <c r="AF53" i="6" s="1"/>
  <c r="AB53" i="6" a="1"/>
  <c r="AB52" i="6" a="1"/>
  <c r="AB52" i="6" s="1"/>
  <c r="AB51" i="6" a="1"/>
  <c r="AB51" i="6" s="1"/>
  <c r="AB50" i="6" a="1"/>
  <c r="AB50" i="6" s="1"/>
  <c r="AC50" i="6" s="1" a="1"/>
  <c r="AC50" i="6" s="1"/>
  <c r="AG50" i="6" s="1"/>
  <c r="AB49" i="6" a="1"/>
  <c r="AB49" i="6" s="1"/>
  <c r="AF49" i="6" s="1"/>
  <c r="AB48" i="6" a="1"/>
  <c r="AB48" i="6" s="1"/>
  <c r="AF48" i="6" s="1"/>
  <c r="AB47" i="6" a="1"/>
  <c r="AB47" i="6" s="1"/>
  <c r="AB46" i="6" a="1"/>
  <c r="AB46" i="6" s="1"/>
  <c r="AF46" i="6" s="1"/>
  <c r="AB45" i="6" a="1"/>
  <c r="AB45" i="6" s="1"/>
  <c r="AB44" i="6" a="1"/>
  <c r="AB44" i="6" s="1"/>
  <c r="AF44" i="6" s="1"/>
  <c r="AB43" i="6" a="1"/>
  <c r="AB43" i="6" s="1"/>
  <c r="AF43" i="6" s="1"/>
  <c r="AB42" i="6" a="1"/>
  <c r="AB42" i="6" s="1"/>
  <c r="AB41" i="6" a="1"/>
  <c r="AB41" i="6" s="1"/>
  <c r="AF41" i="6" s="1"/>
  <c r="AB40" i="6" a="1"/>
  <c r="AB40" i="6" s="1"/>
  <c r="AB39" i="6" a="1"/>
  <c r="AB39" i="6" s="1"/>
  <c r="AF39" i="6" s="1"/>
  <c r="AB38" i="6" a="1"/>
  <c r="AB38" i="6" s="1"/>
  <c r="AB37" i="6" a="1"/>
  <c r="AB37" i="6" s="1"/>
  <c r="AB36" i="6" a="1"/>
  <c r="AB36" i="6" s="1"/>
  <c r="C34" i="6"/>
  <c r="B34" i="6"/>
  <c r="AB33" i="6" a="1"/>
  <c r="AB33" i="6" s="1"/>
  <c r="AF33" i="6" s="1"/>
  <c r="AB32" i="6" a="1"/>
  <c r="AB32" i="6" s="1"/>
  <c r="AF32" i="6" s="1"/>
  <c r="AB31" i="6" a="1"/>
  <c r="AB31" i="6" s="1"/>
  <c r="AB30" i="6" a="1"/>
  <c r="AB30" i="6" s="1"/>
  <c r="AB29" i="6" a="1"/>
  <c r="AB29" i="6" s="1"/>
  <c r="AC29" i="6" s="1" a="1"/>
  <c r="AC29" i="6" s="1"/>
  <c r="AG29" i="6" s="1"/>
  <c r="AB28" i="6" a="1"/>
  <c r="AB28" i="6" s="1"/>
  <c r="AF28" i="6" s="1"/>
  <c r="AB27" i="6" a="1"/>
  <c r="AB27" i="6" s="1"/>
  <c r="AB26" i="6" a="1"/>
  <c r="AB26" i="6" s="1"/>
  <c r="AB25" i="6" a="1"/>
  <c r="AB25" i="6" s="1"/>
  <c r="AB24" i="6" a="1"/>
  <c r="AB24" i="6" s="1"/>
  <c r="AF24" i="6" s="1"/>
  <c r="AB23" i="6" a="1"/>
  <c r="AB23" i="6" s="1"/>
  <c r="AB22" i="6" a="1"/>
  <c r="AB22" i="6" s="1"/>
  <c r="AB21" i="6" a="1"/>
  <c r="AB21" i="6" s="1"/>
  <c r="AB20" i="6" a="1"/>
  <c r="AB20" i="6" s="1"/>
  <c r="AC20" i="6" s="1" a="1"/>
  <c r="AC20" i="6" s="1"/>
  <c r="AG20" i="6" s="1"/>
  <c r="AB19" i="6" a="1"/>
  <c r="AB19" i="6" s="1"/>
  <c r="AB18" i="6" a="1"/>
  <c r="AB18" i="6" s="1"/>
  <c r="AB17" i="6" a="1"/>
  <c r="AB17" i="6" s="1"/>
  <c r="AB16" i="6" a="1"/>
  <c r="AB16" i="6" s="1"/>
  <c r="AF16" i="6" s="1"/>
  <c r="AB15" i="6" a="1"/>
  <c r="AB15" i="6" s="1"/>
  <c r="AB14" i="6" a="1"/>
  <c r="AB14" i="6" s="1"/>
  <c r="AB13" i="6" a="1"/>
  <c r="AB13" i="6" s="1"/>
  <c r="AB12" i="6" a="1"/>
  <c r="AB12" i="6" s="1"/>
  <c r="AC12" i="6" s="1" a="1"/>
  <c r="AC12" i="6" s="1"/>
  <c r="AG12" i="6" s="1"/>
  <c r="AB11" i="6" a="1"/>
  <c r="AB11" i="6" s="1"/>
  <c r="AB10" i="6" a="1"/>
  <c r="AB10" i="6" s="1"/>
  <c r="AB9" i="6" a="1"/>
  <c r="AB9" i="6" s="1"/>
  <c r="AB8" i="6" a="1"/>
  <c r="AB8" i="6" s="1"/>
  <c r="AC8" i="6" s="1" a="1"/>
  <c r="AC8" i="6" s="1"/>
  <c r="AG8" i="6" s="1"/>
  <c r="AB7" i="6" a="1"/>
  <c r="AB7" i="6" s="1"/>
  <c r="AB6" i="6" a="1"/>
  <c r="AB6" i="6" s="1"/>
  <c r="AB5" i="6" a="1"/>
  <c r="AB5" i="6" s="1"/>
  <c r="AF5" i="6" s="1"/>
  <c r="AB4" i="6" a="1"/>
  <c r="AB4" i="6" s="1"/>
  <c r="AF4" i="6" s="1"/>
  <c r="AB3" i="6" a="1"/>
  <c r="AB3" i="6" s="1"/>
  <c r="AB2" i="6" a="1"/>
  <c r="AB2" i="6" s="1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B17" i="5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113" i="1"/>
  <c r="G60" i="4" a="1"/>
  <c r="G60" i="4" s="1"/>
  <c r="H60" i="4" a="1"/>
  <c r="H60" i="4" s="1"/>
  <c r="I60" i="4" a="1"/>
  <c r="I60" i="4" s="1"/>
  <c r="J60" i="4" a="1"/>
  <c r="J60" i="4" s="1"/>
  <c r="K60" i="4" a="1"/>
  <c r="K60" i="4" s="1"/>
  <c r="L60" i="4" a="1"/>
  <c r="L60" i="4" s="1"/>
  <c r="M60" i="4" a="1"/>
  <c r="M60" i="4" s="1"/>
  <c r="N60" i="4" a="1"/>
  <c r="N60" i="4" s="1"/>
  <c r="O60" i="4" a="1"/>
  <c r="O60" i="4" s="1"/>
  <c r="P60" i="4" a="1"/>
  <c r="P60" i="4" s="1"/>
  <c r="Q60" i="4" a="1"/>
  <c r="Q60" i="4" s="1"/>
  <c r="R60" i="4" a="1"/>
  <c r="R60" i="4" s="1"/>
  <c r="S60" i="4" a="1"/>
  <c r="S60" i="4" s="1"/>
  <c r="T60" i="4" a="1"/>
  <c r="T60" i="4" s="1"/>
  <c r="U60" i="4" a="1"/>
  <c r="U60" i="4" s="1"/>
  <c r="V60" i="4" a="1"/>
  <c r="V60" i="4" s="1"/>
  <c r="W60" i="4" a="1"/>
  <c r="W60" i="4" s="1"/>
  <c r="X60" i="4" a="1"/>
  <c r="X60" i="4" s="1"/>
  <c r="Y60" i="4" a="1"/>
  <c r="Y60" i="4" s="1"/>
  <c r="Z60" i="4" a="1"/>
  <c r="Z60" i="4" s="1"/>
  <c r="AA60" i="4" a="1"/>
  <c r="AA60" i="4" s="1"/>
  <c r="F60" i="4" a="1"/>
  <c r="F60" i="4" s="1"/>
  <c r="AB66" i="4" a="1"/>
  <c r="AB66" i="4" s="1"/>
  <c r="AC66" i="4" s="1" a="1"/>
  <c r="AC66" i="4" s="1"/>
  <c r="AA63" i="4" a="1"/>
  <c r="AA63" i="4" s="1"/>
  <c r="Z63" i="4" a="1"/>
  <c r="Z63" i="4" s="1"/>
  <c r="Y63" i="4" a="1"/>
  <c r="Y63" i="4" s="1"/>
  <c r="X63" i="4" a="1"/>
  <c r="X63" i="4" s="1"/>
  <c r="W63" i="4" a="1"/>
  <c r="W63" i="4" s="1"/>
  <c r="V63" i="4" a="1"/>
  <c r="V63" i="4" s="1"/>
  <c r="U63" i="4" a="1"/>
  <c r="U63" i="4" s="1"/>
  <c r="T63" i="4" a="1"/>
  <c r="T63" i="4" s="1"/>
  <c r="S63" i="4" a="1"/>
  <c r="S63" i="4" s="1"/>
  <c r="R63" i="4" a="1"/>
  <c r="R63" i="4" s="1"/>
  <c r="Q63" i="4" a="1"/>
  <c r="Q63" i="4" s="1"/>
  <c r="P63" i="4" a="1"/>
  <c r="P63" i="4" s="1"/>
  <c r="O63" i="4" a="1"/>
  <c r="O63" i="4" s="1"/>
  <c r="N63" i="4" a="1"/>
  <c r="N63" i="4" s="1"/>
  <c r="M63" i="4" a="1"/>
  <c r="M63" i="4" s="1"/>
  <c r="L63" i="4" a="1"/>
  <c r="L63" i="4" s="1"/>
  <c r="K63" i="4" a="1"/>
  <c r="K63" i="4" s="1"/>
  <c r="J63" i="4" a="1"/>
  <c r="J63" i="4" s="1"/>
  <c r="I63" i="4" a="1"/>
  <c r="I63" i="4" s="1"/>
  <c r="H63" i="4" a="1"/>
  <c r="H63" i="4" s="1"/>
  <c r="G63" i="4" a="1"/>
  <c r="G63" i="4" s="1"/>
  <c r="F63" i="4" a="1"/>
  <c r="F63" i="4" s="1"/>
  <c r="A59" i="4"/>
  <c r="C58" i="4"/>
  <c r="B58" i="4"/>
  <c r="AB57" i="4"/>
  <c r="AF57" i="4" s="1"/>
  <c r="AB57" i="4" a="1"/>
  <c r="AB56" i="4"/>
  <c r="AF56" i="4" s="1"/>
  <c r="AB56" i="4" a="1"/>
  <c r="AB55" i="4"/>
  <c r="AF55" i="4" s="1"/>
  <c r="AB55" i="4" a="1"/>
  <c r="AB54" i="4"/>
  <c r="AC54" i="4" s="1" a="1"/>
  <c r="AC54" i="4" s="1"/>
  <c r="AG54" i="4" s="1"/>
  <c r="AB54" i="4" a="1"/>
  <c r="AB53" i="4"/>
  <c r="AF53" i="4" s="1"/>
  <c r="AB53" i="4" a="1"/>
  <c r="AB52" i="4"/>
  <c r="AF52" i="4" s="1"/>
  <c r="AB52" i="4" a="1"/>
  <c r="AB51" i="4"/>
  <c r="AF51" i="4" s="1"/>
  <c r="AB51" i="4" a="1"/>
  <c r="AB50" i="4"/>
  <c r="AC50" i="4" s="1" a="1"/>
  <c r="AC50" i="4" s="1"/>
  <c r="AG50" i="4" s="1"/>
  <c r="AB50" i="4" a="1"/>
  <c r="AB49" i="4"/>
  <c r="AF49" i="4" s="1"/>
  <c r="AB49" i="4" a="1"/>
  <c r="AB48" i="4"/>
  <c r="AF48" i="4" s="1"/>
  <c r="AB48" i="4" a="1"/>
  <c r="AB47" i="4"/>
  <c r="AF47" i="4" s="1"/>
  <c r="AB47" i="4" a="1"/>
  <c r="AB46" i="4"/>
  <c r="AC46" i="4" s="1" a="1"/>
  <c r="AC46" i="4" s="1"/>
  <c r="AG46" i="4" s="1"/>
  <c r="AB46" i="4" a="1"/>
  <c r="AB45" i="4"/>
  <c r="AF45" i="4" s="1"/>
  <c r="AB45" i="4" a="1"/>
  <c r="AB44" i="4"/>
  <c r="AF44" i="4" s="1"/>
  <c r="AB44" i="4" a="1"/>
  <c r="AB43" i="4"/>
  <c r="AF43" i="4" s="1"/>
  <c r="AB43" i="4" a="1"/>
  <c r="AB42" i="4"/>
  <c r="AC42" i="4" s="1" a="1"/>
  <c r="AC42" i="4" s="1"/>
  <c r="AG42" i="4" s="1"/>
  <c r="AB42" i="4" a="1"/>
  <c r="AB41" i="4"/>
  <c r="AF41" i="4" s="1"/>
  <c r="AB41" i="4" a="1"/>
  <c r="AB40" i="4"/>
  <c r="AF40" i="4" s="1"/>
  <c r="AB40" i="4" a="1"/>
  <c r="AF39" i="4"/>
  <c r="AB39" i="4"/>
  <c r="AC39" i="4" s="1" a="1"/>
  <c r="AC39" i="4" s="1"/>
  <c r="AG39" i="4" s="1"/>
  <c r="AB39" i="4" a="1"/>
  <c r="AB38" i="4"/>
  <c r="AC38" i="4" s="1" a="1"/>
  <c r="AC38" i="4" s="1"/>
  <c r="AG38" i="4" s="1"/>
  <c r="AB38" i="4" a="1"/>
  <c r="AB37" i="4"/>
  <c r="AF37" i="4" s="1"/>
  <c r="AB37" i="4" a="1"/>
  <c r="C35" i="4"/>
  <c r="B35" i="4"/>
  <c r="AB34" i="4"/>
  <c r="AF34" i="4" s="1"/>
  <c r="AB34" i="4" a="1"/>
  <c r="AB33" i="4"/>
  <c r="AF33" i="4" s="1"/>
  <c r="AB33" i="4" a="1"/>
  <c r="AB32" i="4" a="1"/>
  <c r="AB32" i="4" s="1"/>
  <c r="AB31" i="4"/>
  <c r="AC31" i="4" s="1" a="1"/>
  <c r="AC31" i="4" s="1"/>
  <c r="AG31" i="4" s="1"/>
  <c r="AB31" i="4" a="1"/>
  <c r="AB30" i="4"/>
  <c r="AF30" i="4" s="1"/>
  <c r="AB30" i="4" a="1"/>
  <c r="AB29" i="4" a="1"/>
  <c r="AB29" i="4" s="1"/>
  <c r="AB28" i="4" a="1"/>
  <c r="AB28" i="4" s="1"/>
  <c r="AB27" i="4"/>
  <c r="AC27" i="4" s="1" a="1"/>
  <c r="AC27" i="4" s="1"/>
  <c r="AG27" i="4" s="1"/>
  <c r="AB27" i="4" a="1"/>
  <c r="AB26" i="4"/>
  <c r="AF26" i="4" s="1"/>
  <c r="AB26" i="4" a="1"/>
  <c r="AB25" i="4" a="1"/>
  <c r="AB25" i="4" s="1"/>
  <c r="AB24" i="4" a="1"/>
  <c r="AB24" i="4" s="1"/>
  <c r="AB23" i="4"/>
  <c r="AC23" i="4" s="1" a="1"/>
  <c r="AC23" i="4" s="1"/>
  <c r="AG23" i="4" s="1"/>
  <c r="AB23" i="4" a="1"/>
  <c r="AB22" i="4"/>
  <c r="AF22" i="4" s="1"/>
  <c r="AB22" i="4" a="1"/>
  <c r="AB21" i="4" a="1"/>
  <c r="AB21" i="4" s="1"/>
  <c r="AB20" i="4" a="1"/>
  <c r="AB20" i="4" s="1"/>
  <c r="AB19" i="4"/>
  <c r="AC19" i="4" s="1" a="1"/>
  <c r="AC19" i="4" s="1"/>
  <c r="AG19" i="4" s="1"/>
  <c r="AB19" i="4" a="1"/>
  <c r="AB18" i="4"/>
  <c r="AF18" i="4" s="1"/>
  <c r="AB18" i="4" a="1"/>
  <c r="AB17" i="4" a="1"/>
  <c r="AB17" i="4" s="1"/>
  <c r="AB16" i="4" a="1"/>
  <c r="AB16" i="4" s="1"/>
  <c r="AB15" i="4"/>
  <c r="AC15" i="4" s="1" a="1"/>
  <c r="AC15" i="4" s="1"/>
  <c r="AG15" i="4" s="1"/>
  <c r="AB15" i="4" a="1"/>
  <c r="AB14" i="4"/>
  <c r="AF14" i="4" s="1"/>
  <c r="AB14" i="4" a="1"/>
  <c r="AB13" i="4" a="1"/>
  <c r="AB13" i="4" s="1"/>
  <c r="AB12" i="4" a="1"/>
  <c r="AB12" i="4" s="1"/>
  <c r="AB11" i="4"/>
  <c r="AC11" i="4" s="1" a="1"/>
  <c r="AC11" i="4" s="1"/>
  <c r="AG11" i="4" s="1"/>
  <c r="AB11" i="4" a="1"/>
  <c r="AB10" i="4"/>
  <c r="AF10" i="4" s="1"/>
  <c r="AB10" i="4" a="1"/>
  <c r="AB9" i="4" a="1"/>
  <c r="AB9" i="4" s="1"/>
  <c r="AB8" i="4" a="1"/>
  <c r="AB8" i="4" s="1"/>
  <c r="AB7" i="4"/>
  <c r="AC7" i="4" s="1" a="1"/>
  <c r="AC7" i="4" s="1"/>
  <c r="AG7" i="4" s="1"/>
  <c r="AB7" i="4" a="1"/>
  <c r="AB6" i="4"/>
  <c r="AF6" i="4" s="1"/>
  <c r="AB6" i="4" a="1"/>
  <c r="AB5" i="4" a="1"/>
  <c r="AB5" i="4" s="1"/>
  <c r="AB4" i="4" a="1"/>
  <c r="AB4" i="4" s="1"/>
  <c r="AB3" i="4"/>
  <c r="AC3" i="4" s="1" a="1"/>
  <c r="AC3" i="4" s="1"/>
  <c r="AG3" i="4" s="1"/>
  <c r="AB3" i="4" a="1"/>
  <c r="AB2" i="4"/>
  <c r="AF2" i="4" s="1"/>
  <c r="AB2" i="4" a="1"/>
  <c r="C58" i="1"/>
  <c r="B58" i="1"/>
  <c r="C35" i="1"/>
  <c r="B35" i="1"/>
  <c r="G72" i="1"/>
  <c r="H72" i="1"/>
  <c r="I72" i="1"/>
  <c r="J72" i="1"/>
  <c r="K72" i="1"/>
  <c r="L72" i="1"/>
  <c r="M72" i="1"/>
  <c r="N72" i="1"/>
  <c r="AC72" i="1" s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F72" i="1"/>
  <c r="AA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F78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F83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F82" i="1"/>
  <c r="AC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F74" i="1"/>
  <c r="AA75" i="1"/>
  <c r="AB26" i="3" a="1"/>
  <c r="AB26" i="3" s="1"/>
  <c r="AC26" i="3" s="1" a="1"/>
  <c r="AC26" i="3" s="1"/>
  <c r="AA23" i="3" a="1"/>
  <c r="AA23" i="3" s="1"/>
  <c r="Z23" i="3" a="1"/>
  <c r="Z23" i="3" s="1"/>
  <c r="Y23" i="3" a="1"/>
  <c r="Y23" i="3" s="1"/>
  <c r="X23" i="3" a="1"/>
  <c r="X23" i="3" s="1"/>
  <c r="W23" i="3" a="1"/>
  <c r="W23" i="3" s="1"/>
  <c r="V23" i="3" a="1"/>
  <c r="V23" i="3" s="1"/>
  <c r="U23" i="3" a="1"/>
  <c r="U23" i="3" s="1"/>
  <c r="T23" i="3" a="1"/>
  <c r="T23" i="3" s="1"/>
  <c r="S23" i="3" a="1"/>
  <c r="S23" i="3" s="1"/>
  <c r="R23" i="3" a="1"/>
  <c r="R23" i="3" s="1"/>
  <c r="Q23" i="3" a="1"/>
  <c r="Q23" i="3" s="1"/>
  <c r="P23" i="3" a="1"/>
  <c r="P23" i="3" s="1"/>
  <c r="O23" i="3" a="1"/>
  <c r="O23" i="3" s="1"/>
  <c r="N23" i="3" a="1"/>
  <c r="N23" i="3" s="1"/>
  <c r="M23" i="3" a="1"/>
  <c r="M23" i="3" s="1"/>
  <c r="L23" i="3" a="1"/>
  <c r="L23" i="3" s="1"/>
  <c r="K23" i="3" a="1"/>
  <c r="K23" i="3" s="1"/>
  <c r="J23" i="3" a="1"/>
  <c r="J23" i="3" s="1"/>
  <c r="I23" i="3" a="1"/>
  <c r="I23" i="3" s="1"/>
  <c r="H23" i="3" a="1"/>
  <c r="H23" i="3" s="1"/>
  <c r="G23" i="3" a="1"/>
  <c r="G23" i="3" s="1"/>
  <c r="F23" i="3" a="1"/>
  <c r="F23" i="3" s="1"/>
  <c r="A19" i="3"/>
  <c r="R24" i="3" s="1"/>
  <c r="R29" i="3" s="1"/>
  <c r="AB17" i="3" a="1"/>
  <c r="AB17" i="3" s="1"/>
  <c r="AB16" i="3" a="1"/>
  <c r="AB16" i="3" s="1"/>
  <c r="AB15" i="3" a="1"/>
  <c r="AB15" i="3" s="1"/>
  <c r="AB14" i="3" a="1"/>
  <c r="AB14" i="3" s="1"/>
  <c r="AB13" i="3" a="1"/>
  <c r="AB13" i="3" s="1"/>
  <c r="AB12" i="3" a="1"/>
  <c r="AB12" i="3" s="1"/>
  <c r="AB11" i="3" a="1"/>
  <c r="AB11" i="3" s="1"/>
  <c r="AB10" i="3" a="1"/>
  <c r="AB10" i="3" s="1"/>
  <c r="AB9" i="3" a="1"/>
  <c r="AB9" i="3" s="1"/>
  <c r="AB8" i="3" a="1"/>
  <c r="AB8" i="3" s="1"/>
  <c r="AB7" i="3" a="1"/>
  <c r="AB7" i="3" s="1"/>
  <c r="AB6" i="3" a="1"/>
  <c r="AB6" i="3" s="1"/>
  <c r="AB5" i="3" a="1"/>
  <c r="AB5" i="3" s="1"/>
  <c r="AB4" i="3" a="1"/>
  <c r="AB4" i="3" s="1"/>
  <c r="AB3" i="3" a="1"/>
  <c r="AB3" i="3" s="1"/>
  <c r="AB2" i="3" a="1"/>
  <c r="AB2" i="3" s="1"/>
  <c r="AG42" i="1"/>
  <c r="AG47" i="1"/>
  <c r="AG55" i="1"/>
  <c r="J68" i="1"/>
  <c r="R68" i="1"/>
  <c r="Z68" i="1"/>
  <c r="J64" i="1"/>
  <c r="L64" i="1"/>
  <c r="R64" i="1"/>
  <c r="T64" i="1"/>
  <c r="Z64" i="1"/>
  <c r="F64" i="1"/>
  <c r="A59" i="1"/>
  <c r="G64" i="1" s="1"/>
  <c r="G63" i="1" a="1"/>
  <c r="G63" i="1" s="1"/>
  <c r="H63" i="1" a="1"/>
  <c r="H63" i="1" s="1"/>
  <c r="I63" i="1" a="1"/>
  <c r="I63" i="1" s="1"/>
  <c r="J63" i="1" a="1"/>
  <c r="J63" i="1" s="1"/>
  <c r="K63" i="1" a="1"/>
  <c r="K63" i="1" s="1"/>
  <c r="L63" i="1" a="1"/>
  <c r="L63" i="1" s="1"/>
  <c r="M63" i="1" a="1"/>
  <c r="M63" i="1" s="1"/>
  <c r="M64" i="1" s="1"/>
  <c r="N63" i="1" a="1"/>
  <c r="N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T63" i="1" a="1"/>
  <c r="T63" i="1" s="1"/>
  <c r="U63" i="1" a="1"/>
  <c r="U63" i="1" s="1"/>
  <c r="U64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AA63" i="1" a="1"/>
  <c r="AA63" i="1" s="1"/>
  <c r="F63" i="1" a="1"/>
  <c r="F63" i="1" s="1"/>
  <c r="AB57" i="1" a="1"/>
  <c r="AB57" i="1" s="1"/>
  <c r="AC57" i="1" s="1" a="1"/>
  <c r="AC57" i="1" s="1"/>
  <c r="AG57" i="1" s="1"/>
  <c r="AB56" i="1" a="1"/>
  <c r="AB56" i="1" s="1"/>
  <c r="AC56" i="1" s="1" a="1"/>
  <c r="AC56" i="1" s="1"/>
  <c r="AG56" i="1" s="1"/>
  <c r="AB55" i="1" a="1"/>
  <c r="AB55" i="1" s="1"/>
  <c r="AC55" i="1" s="1" a="1"/>
  <c r="AC55" i="1" s="1"/>
  <c r="AB66" i="1" a="1"/>
  <c r="AB66" i="1" s="1"/>
  <c r="AC66" i="1" s="1" a="1"/>
  <c r="AC66" i="1" s="1"/>
  <c r="G60" i="1" a="1"/>
  <c r="G60" i="1" s="1"/>
  <c r="G61" i="1" s="1"/>
  <c r="H60" i="1" a="1"/>
  <c r="H60" i="1" s="1"/>
  <c r="H61" i="1" s="1"/>
  <c r="I60" i="1" a="1"/>
  <c r="I60" i="1" s="1"/>
  <c r="I61" i="1" s="1"/>
  <c r="J60" i="1" a="1"/>
  <c r="J60" i="1" s="1"/>
  <c r="J61" i="1" s="1"/>
  <c r="K60" i="1" a="1"/>
  <c r="K60" i="1" s="1"/>
  <c r="K61" i="1" s="1"/>
  <c r="L60" i="1" a="1"/>
  <c r="L60" i="1" s="1"/>
  <c r="L61" i="1" s="1"/>
  <c r="M60" i="1" a="1"/>
  <c r="M60" i="1" s="1"/>
  <c r="M61" i="1" s="1"/>
  <c r="N60" i="1" a="1"/>
  <c r="N60" i="1" s="1"/>
  <c r="N61" i="1" s="1"/>
  <c r="O60" i="1" a="1"/>
  <c r="O60" i="1" s="1"/>
  <c r="O61" i="1" s="1"/>
  <c r="P60" i="1" a="1"/>
  <c r="P60" i="1" s="1"/>
  <c r="P61" i="1" s="1"/>
  <c r="Q60" i="1" a="1"/>
  <c r="Q60" i="1" s="1"/>
  <c r="Q61" i="1" s="1"/>
  <c r="R60" i="1" a="1"/>
  <c r="R60" i="1" s="1"/>
  <c r="R61" i="1" s="1"/>
  <c r="S60" i="1" a="1"/>
  <c r="S60" i="1" s="1"/>
  <c r="S61" i="1" s="1"/>
  <c r="T60" i="1" a="1"/>
  <c r="T60" i="1" s="1"/>
  <c r="T61" i="1" s="1"/>
  <c r="U60" i="1" a="1"/>
  <c r="U60" i="1" s="1"/>
  <c r="U61" i="1" s="1"/>
  <c r="V60" i="1" a="1"/>
  <c r="V60" i="1" s="1"/>
  <c r="V61" i="1" s="1"/>
  <c r="W60" i="1" a="1"/>
  <c r="W60" i="1" s="1"/>
  <c r="W61" i="1" s="1"/>
  <c r="X60" i="1" a="1"/>
  <c r="X60" i="1" s="1"/>
  <c r="X61" i="1" s="1"/>
  <c r="Y60" i="1" a="1"/>
  <c r="Y60" i="1" s="1"/>
  <c r="Y61" i="1" s="1"/>
  <c r="Z60" i="1" a="1"/>
  <c r="Z60" i="1" s="1"/>
  <c r="Z61" i="1" s="1"/>
  <c r="AA60" i="1" a="1"/>
  <c r="AA60" i="1" s="1"/>
  <c r="AA61" i="1" s="1"/>
  <c r="F60" i="1" a="1"/>
  <c r="F60" i="1" s="1"/>
  <c r="F61" i="1" s="1"/>
  <c r="AB42" i="1" a="1"/>
  <c r="AB42" i="1" s="1"/>
  <c r="AC42" i="1" s="1" a="1"/>
  <c r="AC42" i="1" s="1"/>
  <c r="AB43" i="1" a="1"/>
  <c r="AB43" i="1" s="1"/>
  <c r="AC43" i="1" s="1" a="1"/>
  <c r="AC43" i="1" s="1"/>
  <c r="AG43" i="1" s="1"/>
  <c r="AB44" i="1" a="1"/>
  <c r="AB44" i="1" s="1"/>
  <c r="AC44" i="1" s="1" a="1"/>
  <c r="AC44" i="1" s="1"/>
  <c r="AG44" i="1" s="1"/>
  <c r="AB45" i="1" a="1"/>
  <c r="AB45" i="1" s="1"/>
  <c r="AC45" i="1" s="1" a="1"/>
  <c r="AC45" i="1" s="1"/>
  <c r="AG45" i="1" s="1"/>
  <c r="AB46" i="1" a="1"/>
  <c r="AB46" i="1" s="1"/>
  <c r="AC46" i="1" s="1" a="1"/>
  <c r="AC46" i="1" s="1"/>
  <c r="AG46" i="1" s="1"/>
  <c r="AB47" i="1" a="1"/>
  <c r="AB47" i="1" s="1"/>
  <c r="AC47" i="1" s="1" a="1"/>
  <c r="AC47" i="1" s="1"/>
  <c r="AB48" i="1" a="1"/>
  <c r="AB48" i="1" s="1"/>
  <c r="AC48" i="1" s="1" a="1"/>
  <c r="AC48" i="1" s="1"/>
  <c r="AG48" i="1" s="1"/>
  <c r="AB49" i="1" a="1"/>
  <c r="AB49" i="1" s="1"/>
  <c r="AC49" i="1" s="1" a="1"/>
  <c r="AC49" i="1" s="1"/>
  <c r="AG49" i="1" s="1"/>
  <c r="AB50" i="1" a="1"/>
  <c r="AB50" i="1" s="1"/>
  <c r="AC50" i="1" s="1" a="1"/>
  <c r="AC50" i="1" s="1"/>
  <c r="AG50" i="1" s="1"/>
  <c r="AB51" i="1" a="1"/>
  <c r="AB51" i="1" s="1"/>
  <c r="AC51" i="1" s="1" a="1"/>
  <c r="AC51" i="1" s="1"/>
  <c r="AG51" i="1" s="1"/>
  <c r="AB52" i="1" a="1"/>
  <c r="AB52" i="1" s="1"/>
  <c r="AC52" i="1" s="1" a="1"/>
  <c r="AC52" i="1" s="1"/>
  <c r="AG52" i="1" s="1"/>
  <c r="AB53" i="1" a="1"/>
  <c r="AB53" i="1" s="1"/>
  <c r="AC53" i="1" s="1" a="1"/>
  <c r="AC53" i="1" s="1"/>
  <c r="AG53" i="1" s="1"/>
  <c r="AB54" i="1" a="1"/>
  <c r="AB54" i="1" s="1"/>
  <c r="AC54" i="1" s="1" a="1"/>
  <c r="AC54" i="1" s="1"/>
  <c r="AG54" i="1" s="1"/>
  <c r="AB14" i="1" a="1"/>
  <c r="AB14" i="1" s="1"/>
  <c r="AF14" i="1" s="1"/>
  <c r="AB15" i="1" a="1"/>
  <c r="AB15" i="1" s="1"/>
  <c r="AC15" i="1" s="1" a="1"/>
  <c r="AC15" i="1" s="1"/>
  <c r="AG15" i="1" s="1"/>
  <c r="AB16" i="1" a="1"/>
  <c r="AB16" i="1" s="1"/>
  <c r="AC16" i="1" s="1" a="1"/>
  <c r="AC16" i="1" s="1"/>
  <c r="AG16" i="1" s="1"/>
  <c r="AB17" i="1" a="1"/>
  <c r="AB17" i="1" s="1"/>
  <c r="AC17" i="1" s="1" a="1"/>
  <c r="AC17" i="1" s="1"/>
  <c r="AG17" i="1" s="1"/>
  <c r="AB18" i="1" a="1"/>
  <c r="AB18" i="1" s="1"/>
  <c r="AC18" i="1" s="1" a="1"/>
  <c r="AC18" i="1" s="1"/>
  <c r="AG18" i="1" s="1"/>
  <c r="AB19" i="1" a="1"/>
  <c r="AB19" i="1" s="1"/>
  <c r="AC19" i="1" s="1" a="1"/>
  <c r="AC19" i="1" s="1"/>
  <c r="AG19" i="1" s="1"/>
  <c r="AB20" i="1" a="1"/>
  <c r="AB20" i="1" s="1"/>
  <c r="AC20" i="1" s="1" a="1"/>
  <c r="AC20" i="1" s="1"/>
  <c r="AG20" i="1" s="1"/>
  <c r="AB21" i="1" a="1"/>
  <c r="AB21" i="1" s="1"/>
  <c r="AC21" i="1" s="1" a="1"/>
  <c r="AC21" i="1" s="1"/>
  <c r="AG21" i="1" s="1"/>
  <c r="AB22" i="1" a="1"/>
  <c r="AB22" i="1" s="1"/>
  <c r="AC22" i="1" s="1" a="1"/>
  <c r="AC22" i="1" s="1"/>
  <c r="AG22" i="1" s="1"/>
  <c r="AB23" i="1" a="1"/>
  <c r="AB23" i="1" s="1"/>
  <c r="AC23" i="1" s="1" a="1"/>
  <c r="AC23" i="1" s="1"/>
  <c r="AG23" i="1" s="1"/>
  <c r="AB24" i="1" a="1"/>
  <c r="AB24" i="1" s="1"/>
  <c r="AC24" i="1" s="1" a="1"/>
  <c r="AC24" i="1" s="1"/>
  <c r="AG24" i="1" s="1"/>
  <c r="AB25" i="1" a="1"/>
  <c r="AB25" i="1" s="1"/>
  <c r="AC25" i="1" s="1" a="1"/>
  <c r="AC25" i="1" s="1"/>
  <c r="AG25" i="1" s="1"/>
  <c r="AB26" i="1" a="1"/>
  <c r="AB26" i="1" s="1"/>
  <c r="AC26" i="1" s="1" a="1"/>
  <c r="AC26" i="1" s="1"/>
  <c r="AG26" i="1" s="1"/>
  <c r="AB27" i="1" a="1"/>
  <c r="AB27" i="1" s="1"/>
  <c r="AC27" i="1" s="1" a="1"/>
  <c r="AC27" i="1" s="1"/>
  <c r="AG27" i="1" s="1"/>
  <c r="AB28" i="1" a="1"/>
  <c r="AB28" i="1" s="1"/>
  <c r="AC28" i="1" s="1" a="1"/>
  <c r="AC28" i="1" s="1"/>
  <c r="AG28" i="1" s="1"/>
  <c r="AB29" i="1" a="1"/>
  <c r="AB29" i="1" s="1"/>
  <c r="AC29" i="1" s="1" a="1"/>
  <c r="AC29" i="1" s="1"/>
  <c r="AG29" i="1" s="1"/>
  <c r="AB30" i="1" a="1"/>
  <c r="AB30" i="1" s="1"/>
  <c r="AC30" i="1" s="1" a="1"/>
  <c r="AC30" i="1" s="1"/>
  <c r="AG30" i="1" s="1"/>
  <c r="AB31" i="1" a="1"/>
  <c r="AB31" i="1" s="1"/>
  <c r="AC31" i="1" s="1" a="1"/>
  <c r="AC31" i="1" s="1"/>
  <c r="AG31" i="1" s="1"/>
  <c r="AB32" i="1" a="1"/>
  <c r="AB32" i="1" s="1"/>
  <c r="AC32" i="1" s="1" a="1"/>
  <c r="AC32" i="1" s="1"/>
  <c r="AG32" i="1" s="1"/>
  <c r="AB33" i="1" a="1"/>
  <c r="AB33" i="1" s="1"/>
  <c r="AC33" i="1" s="1" a="1"/>
  <c r="AC33" i="1" s="1"/>
  <c r="AG33" i="1" s="1"/>
  <c r="AB34" i="1" a="1"/>
  <c r="AB34" i="1" s="1"/>
  <c r="AC34" i="1" s="1" a="1"/>
  <c r="AC34" i="1" s="1"/>
  <c r="AG34" i="1" s="1"/>
  <c r="AB37" i="1" a="1"/>
  <c r="AB37" i="1" s="1"/>
  <c r="AC37" i="1" s="1" a="1"/>
  <c r="AC37" i="1" s="1"/>
  <c r="AG37" i="1" s="1"/>
  <c r="AB38" i="1" a="1"/>
  <c r="AB38" i="1" s="1"/>
  <c r="AC38" i="1" s="1" a="1"/>
  <c r="AC38" i="1" s="1"/>
  <c r="AG38" i="1" s="1"/>
  <c r="AB39" i="1" a="1"/>
  <c r="AB39" i="1" s="1"/>
  <c r="AC39" i="1" s="1" a="1"/>
  <c r="AC39" i="1" s="1"/>
  <c r="AG39" i="1" s="1"/>
  <c r="AB40" i="1" a="1"/>
  <c r="AB40" i="1" s="1"/>
  <c r="AC40" i="1" s="1" a="1"/>
  <c r="AC40" i="1" s="1"/>
  <c r="AG40" i="1" s="1"/>
  <c r="AB41" i="1" a="1"/>
  <c r="AB41" i="1" s="1"/>
  <c r="AC41" i="1" s="1" a="1"/>
  <c r="AC41" i="1" s="1"/>
  <c r="AG41" i="1" s="1"/>
  <c r="AB3" i="1" a="1"/>
  <c r="AB3" i="1" s="1"/>
  <c r="AF3" i="1" s="1"/>
  <c r="AB4" i="1" a="1"/>
  <c r="AB4" i="1" s="1"/>
  <c r="AB5" i="1" a="1"/>
  <c r="AB5" i="1" s="1"/>
  <c r="AF5" i="1" s="1"/>
  <c r="AB6" i="1" a="1"/>
  <c r="AB6" i="1" s="1"/>
  <c r="AF6" i="1" s="1"/>
  <c r="AB7" i="1" a="1"/>
  <c r="AB7" i="1" s="1"/>
  <c r="AF7" i="1" s="1"/>
  <c r="AB8" i="1" a="1"/>
  <c r="AB8" i="1" s="1"/>
  <c r="AF8" i="1" s="1"/>
  <c r="AB9" i="1" a="1"/>
  <c r="AB9" i="1" s="1"/>
  <c r="AF9" i="1" s="1"/>
  <c r="AB10" i="1" a="1"/>
  <c r="AB10" i="1" s="1"/>
  <c r="AC10" i="1" s="1" a="1"/>
  <c r="AC10" i="1" s="1"/>
  <c r="AG10" i="1" s="1"/>
  <c r="AB11" i="1" a="1"/>
  <c r="AB11" i="1" s="1"/>
  <c r="AC11" i="1" s="1" a="1"/>
  <c r="AC11" i="1" s="1"/>
  <c r="AG11" i="1" s="1"/>
  <c r="AB12" i="1" a="1"/>
  <c r="AB12" i="1" s="1"/>
  <c r="AF12" i="1" s="1"/>
  <c r="AB13" i="1" a="1"/>
  <c r="AB13" i="1" s="1"/>
  <c r="AF13" i="1" s="1"/>
  <c r="AB2" i="1" a="1"/>
  <c r="AB2" i="1" s="1"/>
  <c r="AF2" i="1" s="1"/>
  <c r="BF56" i="14" l="1"/>
  <c r="BF54" i="14"/>
  <c r="BD61" i="14"/>
  <c r="BD56" i="14"/>
  <c r="BD60" i="14" s="1"/>
  <c r="AM47" i="14"/>
  <c r="AM44" i="14"/>
  <c r="V31" i="8"/>
  <c r="F31" i="8"/>
  <c r="S31" i="8"/>
  <c r="Q31" i="8"/>
  <c r="R31" i="8"/>
  <c r="J31" i="8"/>
  <c r="I31" i="8"/>
  <c r="D31" i="8"/>
  <c r="M31" i="8"/>
  <c r="T31" i="8"/>
  <c r="L31" i="8"/>
  <c r="K31" i="8"/>
  <c r="P31" i="8"/>
  <c r="H31" i="8"/>
  <c r="O31" i="8"/>
  <c r="G31" i="8"/>
  <c r="E31" i="8"/>
  <c r="N31" i="8"/>
  <c r="W19" i="8" a="1"/>
  <c r="W19" i="8" s="1"/>
  <c r="W18" i="8" a="1"/>
  <c r="W18" i="8" s="1"/>
  <c r="W7" i="8" a="1"/>
  <c r="W7" i="8" s="1"/>
  <c r="W14" i="8" a="1"/>
  <c r="W14" i="8" s="1"/>
  <c r="W8" i="8" a="1"/>
  <c r="W8" i="8" s="1"/>
  <c r="W16" i="8" a="1"/>
  <c r="W16" i="8" s="1"/>
  <c r="W17" i="8" a="1"/>
  <c r="W17" i="8" s="1"/>
  <c r="W3" i="8" a="1"/>
  <c r="W3" i="8" s="1"/>
  <c r="W11" i="8" a="1"/>
  <c r="W11" i="8" s="1"/>
  <c r="W12" i="8" a="1"/>
  <c r="W12" i="8" s="1"/>
  <c r="W5" i="8" a="1"/>
  <c r="W5" i="8" s="1"/>
  <c r="W38" i="8" a="1"/>
  <c r="W38" i="8" s="1"/>
  <c r="W15" i="8" a="1"/>
  <c r="W15" i="8" s="1"/>
  <c r="W9" i="8" a="1"/>
  <c r="W9" i="8" s="1"/>
  <c r="W2" i="8" a="1"/>
  <c r="W2" i="8" s="1"/>
  <c r="W10" i="8" a="1"/>
  <c r="W10" i="8" s="1"/>
  <c r="W40" i="8" a="1"/>
  <c r="W40" i="8" s="1"/>
  <c r="W4" i="8" a="1"/>
  <c r="W4" i="8" s="1"/>
  <c r="W6" i="8" a="1"/>
  <c r="W6" i="8" s="1"/>
  <c r="W13" i="8" a="1"/>
  <c r="W13" i="8" s="1"/>
  <c r="G70" i="6"/>
  <c r="O70" i="6"/>
  <c r="W70" i="6"/>
  <c r="Q57" i="6"/>
  <c r="Q68" i="6" s="1"/>
  <c r="H70" i="6"/>
  <c r="P70" i="6"/>
  <c r="X70" i="6"/>
  <c r="J57" i="6"/>
  <c r="J68" i="6" s="1"/>
  <c r="I70" i="6"/>
  <c r="Q70" i="6"/>
  <c r="Y70" i="6"/>
  <c r="I57" i="6"/>
  <c r="I68" i="6" s="1"/>
  <c r="J71" i="6"/>
  <c r="R71" i="6"/>
  <c r="Z71" i="6"/>
  <c r="Y71" i="6"/>
  <c r="Q71" i="6"/>
  <c r="L57" i="6"/>
  <c r="T57" i="6"/>
  <c r="Z57" i="6"/>
  <c r="I71" i="6"/>
  <c r="M57" i="6"/>
  <c r="U57" i="6"/>
  <c r="Y57" i="6"/>
  <c r="U70" i="6"/>
  <c r="F57" i="6"/>
  <c r="N57" i="6"/>
  <c r="V57" i="6"/>
  <c r="V64" i="6" s="1"/>
  <c r="H71" i="6"/>
  <c r="P71" i="6"/>
  <c r="X71" i="6"/>
  <c r="R57" i="6"/>
  <c r="V70" i="6"/>
  <c r="N70" i="6"/>
  <c r="X57" i="6"/>
  <c r="P57" i="6"/>
  <c r="H57" i="6"/>
  <c r="W71" i="6"/>
  <c r="O71" i="6"/>
  <c r="G71" i="6"/>
  <c r="T70" i="6"/>
  <c r="L70" i="6"/>
  <c r="W57" i="6"/>
  <c r="O57" i="6"/>
  <c r="G57" i="6"/>
  <c r="V71" i="6"/>
  <c r="N71" i="6"/>
  <c r="AA70" i="6"/>
  <c r="S70" i="6"/>
  <c r="K70" i="6"/>
  <c r="F70" i="6"/>
  <c r="U71" i="6"/>
  <c r="M71" i="6"/>
  <c r="Z70" i="6"/>
  <c r="R70" i="6"/>
  <c r="J70" i="6"/>
  <c r="F71" i="6"/>
  <c r="T71" i="6"/>
  <c r="L71" i="6"/>
  <c r="AA71" i="6"/>
  <c r="S71" i="6"/>
  <c r="K71" i="6"/>
  <c r="F60" i="6"/>
  <c r="F64" i="6" s="1"/>
  <c r="N60" i="6"/>
  <c r="N64" i="6" s="1"/>
  <c r="V60" i="6"/>
  <c r="AC27" i="6" a="1"/>
  <c r="AC27" i="6" s="1"/>
  <c r="AG27" i="6" s="1"/>
  <c r="AF27" i="6"/>
  <c r="I60" i="6"/>
  <c r="AF20" i="6"/>
  <c r="J60" i="6"/>
  <c r="R60" i="6"/>
  <c r="Z60" i="6"/>
  <c r="Z68" i="6" s="1"/>
  <c r="AC30" i="6" a="1"/>
  <c r="AC30" i="6" s="1"/>
  <c r="AG30" i="6" s="1"/>
  <c r="AF30" i="6"/>
  <c r="AF37" i="6"/>
  <c r="AC37" i="6" a="1"/>
  <c r="AC37" i="6" s="1"/>
  <c r="AG37" i="6" s="1"/>
  <c r="Q74" i="6"/>
  <c r="Q60" i="6"/>
  <c r="Y74" i="6"/>
  <c r="Y60" i="6"/>
  <c r="AF26" i="6"/>
  <c r="AC26" i="6" a="1"/>
  <c r="AC26" i="6" s="1"/>
  <c r="AG26" i="6" s="1"/>
  <c r="AC13" i="6" a="1"/>
  <c r="AC13" i="6" s="1"/>
  <c r="AG13" i="6" s="1"/>
  <c r="AF13" i="6"/>
  <c r="AF2" i="6"/>
  <c r="AC2" i="6" a="1"/>
  <c r="AC2" i="6" s="1"/>
  <c r="AG2" i="6" s="1"/>
  <c r="AF22" i="6"/>
  <c r="AC22" i="6" a="1"/>
  <c r="AC22" i="6" s="1"/>
  <c r="AG22" i="6" s="1"/>
  <c r="AC42" i="6" a="1"/>
  <c r="AC42" i="6" s="1"/>
  <c r="AG42" i="6" s="1"/>
  <c r="AF42" i="6"/>
  <c r="AF19" i="6"/>
  <c r="AC19" i="6" a="1"/>
  <c r="AC19" i="6" s="1"/>
  <c r="AG19" i="6" s="1"/>
  <c r="AC45" i="6" a="1"/>
  <c r="AC45" i="6" s="1"/>
  <c r="AG45" i="6" s="1"/>
  <c r="AF45" i="6"/>
  <c r="AF9" i="6"/>
  <c r="AC9" i="6" a="1"/>
  <c r="AC9" i="6" s="1"/>
  <c r="AG9" i="6" s="1"/>
  <c r="AC39" i="6" a="1"/>
  <c r="AC39" i="6" s="1"/>
  <c r="AG39" i="6" s="1"/>
  <c r="AC53" i="6" a="1"/>
  <c r="AC53" i="6" s="1"/>
  <c r="AG53" i="6" s="1"/>
  <c r="T60" i="6"/>
  <c r="AC48" i="6" a="1"/>
  <c r="AC48" i="6" s="1"/>
  <c r="AG48" i="6" s="1"/>
  <c r="AC5" i="6" a="1"/>
  <c r="AC5" i="6" s="1"/>
  <c r="AG5" i="6" s="1"/>
  <c r="AC16" i="6" a="1"/>
  <c r="AC16" i="6" s="1"/>
  <c r="AG16" i="6" s="1"/>
  <c r="AC32" i="6" a="1"/>
  <c r="AC32" i="6" s="1"/>
  <c r="AG32" i="6" s="1"/>
  <c r="AC41" i="6" a="1"/>
  <c r="AC41" i="6" s="1"/>
  <c r="AG41" i="6" s="1"/>
  <c r="AC44" i="6" a="1"/>
  <c r="AC44" i="6" s="1"/>
  <c r="AG44" i="6" s="1"/>
  <c r="AC46" i="6" a="1"/>
  <c r="AC46" i="6" s="1"/>
  <c r="AG46" i="6" s="1"/>
  <c r="L60" i="6"/>
  <c r="AC49" i="6" a="1"/>
  <c r="AC49" i="6" s="1"/>
  <c r="AG49" i="6" s="1"/>
  <c r="AF15" i="6"/>
  <c r="AC15" i="6" a="1"/>
  <c r="AC15" i="6" s="1"/>
  <c r="AG15" i="6" s="1"/>
  <c r="AC25" i="6" a="1"/>
  <c r="AC25" i="6" s="1"/>
  <c r="AG25" i="6" s="1"/>
  <c r="AF25" i="6"/>
  <c r="AC31" i="6" a="1"/>
  <c r="AC31" i="6" s="1"/>
  <c r="AG31" i="6" s="1"/>
  <c r="AF31" i="6"/>
  <c r="AF36" i="6"/>
  <c r="AC36" i="6" a="1"/>
  <c r="AC36" i="6" s="1"/>
  <c r="AG36" i="6" s="1"/>
  <c r="AF11" i="6"/>
  <c r="AC11" i="6" a="1"/>
  <c r="AC11" i="6" s="1"/>
  <c r="AG11" i="6" s="1"/>
  <c r="AC17" i="6" a="1"/>
  <c r="AC17" i="6" s="1"/>
  <c r="AG17" i="6" s="1"/>
  <c r="AF17" i="6"/>
  <c r="AC40" i="6" a="1"/>
  <c r="AC40" i="6" s="1"/>
  <c r="AG40" i="6" s="1"/>
  <c r="AF40" i="6"/>
  <c r="AF18" i="6"/>
  <c r="AC18" i="6" a="1"/>
  <c r="AC18" i="6" s="1"/>
  <c r="AG18" i="6" s="1"/>
  <c r="AC38" i="6" a="1"/>
  <c r="AC38" i="6" s="1"/>
  <c r="AG38" i="6" s="1"/>
  <c r="AF38" i="6"/>
  <c r="AF3" i="6"/>
  <c r="AC3" i="6" a="1"/>
  <c r="AC3" i="6" s="1"/>
  <c r="AG3" i="6" s="1"/>
  <c r="AC6" i="6" a="1"/>
  <c r="AC6" i="6" s="1"/>
  <c r="AG6" i="6" s="1"/>
  <c r="AF6" i="6"/>
  <c r="AF47" i="6"/>
  <c r="AC47" i="6" a="1"/>
  <c r="AC47" i="6" s="1"/>
  <c r="AG47" i="6" s="1"/>
  <c r="AC14" i="6" a="1"/>
  <c r="AC14" i="6" s="1"/>
  <c r="AG14" i="6" s="1"/>
  <c r="AF14" i="6"/>
  <c r="AF21" i="6"/>
  <c r="AC21" i="6" a="1"/>
  <c r="AC21" i="6" s="1"/>
  <c r="AG21" i="6" s="1"/>
  <c r="AF7" i="6"/>
  <c r="AC7" i="6" a="1"/>
  <c r="AC7" i="6" s="1"/>
  <c r="AG7" i="6" s="1"/>
  <c r="AC10" i="6" a="1"/>
  <c r="AC10" i="6" s="1"/>
  <c r="AG10" i="6" s="1"/>
  <c r="AF10" i="6"/>
  <c r="AC23" i="6" a="1"/>
  <c r="AC23" i="6" s="1"/>
  <c r="AG23" i="6" s="1"/>
  <c r="AF23" i="6"/>
  <c r="AF51" i="6"/>
  <c r="AC51" i="6" a="1"/>
  <c r="AC51" i="6" s="1"/>
  <c r="AG51" i="6" s="1"/>
  <c r="L74" i="6"/>
  <c r="G60" i="6"/>
  <c r="G74" i="6"/>
  <c r="W60" i="6"/>
  <c r="W74" i="6"/>
  <c r="T74" i="6"/>
  <c r="AC4" i="6" a="1"/>
  <c r="AC4" i="6" s="1"/>
  <c r="AG4" i="6" s="1"/>
  <c r="H60" i="6"/>
  <c r="H74" i="6"/>
  <c r="M74" i="6"/>
  <c r="M60" i="6"/>
  <c r="X60" i="6"/>
  <c r="X74" i="6"/>
  <c r="AF29" i="6"/>
  <c r="AF52" i="6"/>
  <c r="AC52" i="6" a="1"/>
  <c r="AC52" i="6" s="1"/>
  <c r="AG52" i="6" s="1"/>
  <c r="S74" i="6"/>
  <c r="S60" i="6"/>
  <c r="AF8" i="6"/>
  <c r="AF12" i="6"/>
  <c r="I74" i="6"/>
  <c r="AC28" i="6" a="1"/>
  <c r="AC28" i="6" s="1"/>
  <c r="AG28" i="6" s="1"/>
  <c r="AC33" i="6" a="1"/>
  <c r="AC33" i="6" s="1"/>
  <c r="AG33" i="6" s="1"/>
  <c r="AC43" i="6" a="1"/>
  <c r="AC43" i="6" s="1"/>
  <c r="AG43" i="6" s="1"/>
  <c r="O60" i="6"/>
  <c r="O74" i="6"/>
  <c r="AC24" i="6" a="1"/>
  <c r="AC24" i="6" s="1"/>
  <c r="AG24" i="6" s="1"/>
  <c r="AF50" i="6"/>
  <c r="P60" i="6"/>
  <c r="P74" i="6"/>
  <c r="U74" i="6"/>
  <c r="U60" i="6"/>
  <c r="K74" i="6"/>
  <c r="K60" i="6"/>
  <c r="AA74" i="6"/>
  <c r="AA60" i="6"/>
  <c r="F74" i="6"/>
  <c r="N74" i="6"/>
  <c r="V74" i="6"/>
  <c r="J74" i="6"/>
  <c r="R74" i="6"/>
  <c r="Z74" i="6"/>
  <c r="AC86" i="1"/>
  <c r="AC85" i="1"/>
  <c r="H113" i="1"/>
  <c r="AF13" i="4"/>
  <c r="AC13" i="4" a="1"/>
  <c r="AC13" i="4" s="1"/>
  <c r="AG13" i="4" s="1"/>
  <c r="AF12" i="4"/>
  <c r="AC12" i="4" a="1"/>
  <c r="AC12" i="4" s="1"/>
  <c r="AG12" i="4" s="1"/>
  <c r="AF28" i="4"/>
  <c r="AC28" i="4" a="1"/>
  <c r="AC28" i="4" s="1"/>
  <c r="AG28" i="4" s="1"/>
  <c r="K74" i="4"/>
  <c r="K75" i="4"/>
  <c r="K61" i="4"/>
  <c r="S74" i="4"/>
  <c r="S75" i="4"/>
  <c r="S61" i="4"/>
  <c r="AA74" i="4"/>
  <c r="AA75" i="4"/>
  <c r="AA61" i="4"/>
  <c r="M64" i="4"/>
  <c r="M78" i="4"/>
  <c r="U64" i="4"/>
  <c r="U78" i="4"/>
  <c r="P78" i="4"/>
  <c r="P64" i="4"/>
  <c r="G74" i="4"/>
  <c r="G75" i="4"/>
  <c r="G61" i="4"/>
  <c r="O64" i="4"/>
  <c r="O78" i="4"/>
  <c r="F74" i="4"/>
  <c r="F75" i="4"/>
  <c r="F61" i="4"/>
  <c r="N74" i="4"/>
  <c r="N75" i="4"/>
  <c r="N61" i="4"/>
  <c r="V74" i="4"/>
  <c r="V75" i="4"/>
  <c r="V61" i="4"/>
  <c r="H78" i="4"/>
  <c r="H64" i="4"/>
  <c r="X78" i="4"/>
  <c r="X64" i="4"/>
  <c r="AF4" i="4"/>
  <c r="AC4" i="4" a="1"/>
  <c r="AC4" i="4" s="1"/>
  <c r="AG4" i="4" s="1"/>
  <c r="AF20" i="4"/>
  <c r="AC20" i="4" a="1"/>
  <c r="AC20" i="4" s="1"/>
  <c r="AG20" i="4" s="1"/>
  <c r="O74" i="4"/>
  <c r="O75" i="4"/>
  <c r="O61" i="4"/>
  <c r="W74" i="4"/>
  <c r="W75" i="4"/>
  <c r="W61" i="4"/>
  <c r="I78" i="4"/>
  <c r="I64" i="4"/>
  <c r="Q78" i="4"/>
  <c r="Q64" i="4"/>
  <c r="Y78" i="4"/>
  <c r="Y64" i="4"/>
  <c r="AF5" i="4"/>
  <c r="AC5" i="4" a="1"/>
  <c r="AC5" i="4" s="1"/>
  <c r="AG5" i="4" s="1"/>
  <c r="AF21" i="4"/>
  <c r="AC21" i="4" a="1"/>
  <c r="AC21" i="4" s="1"/>
  <c r="AG21" i="4" s="1"/>
  <c r="H74" i="4"/>
  <c r="H75" i="4"/>
  <c r="H61" i="4"/>
  <c r="P74" i="4"/>
  <c r="P75" i="4"/>
  <c r="P61" i="4"/>
  <c r="X74" i="4"/>
  <c r="X75" i="4"/>
  <c r="X61" i="4"/>
  <c r="J78" i="4"/>
  <c r="J64" i="4"/>
  <c r="R78" i="4"/>
  <c r="R64" i="4"/>
  <c r="Z78" i="4"/>
  <c r="Z64" i="4"/>
  <c r="AF16" i="4"/>
  <c r="AC16" i="4" a="1"/>
  <c r="AC16" i="4" s="1"/>
  <c r="AG16" i="4" s="1"/>
  <c r="AF32" i="4"/>
  <c r="AC32" i="4" a="1"/>
  <c r="AC32" i="4" s="1"/>
  <c r="AG32" i="4" s="1"/>
  <c r="I75" i="4"/>
  <c r="I61" i="4"/>
  <c r="I74" i="4"/>
  <c r="Q75" i="4"/>
  <c r="Q61" i="4"/>
  <c r="Q74" i="4"/>
  <c r="Y75" i="4"/>
  <c r="Y61" i="4"/>
  <c r="Y74" i="4"/>
  <c r="K64" i="4"/>
  <c r="K78" i="4"/>
  <c r="S64" i="4"/>
  <c r="S78" i="4"/>
  <c r="AA64" i="4"/>
  <c r="AA78" i="4"/>
  <c r="AF29" i="4"/>
  <c r="AC29" i="4" a="1"/>
  <c r="AC29" i="4" s="1"/>
  <c r="AG29" i="4" s="1"/>
  <c r="L74" i="4"/>
  <c r="L75" i="4"/>
  <c r="L61" i="4"/>
  <c r="T74" i="4"/>
  <c r="T75" i="4"/>
  <c r="T61" i="4"/>
  <c r="F64" i="4"/>
  <c r="F78" i="4"/>
  <c r="N64" i="4"/>
  <c r="N78" i="4"/>
  <c r="V64" i="4"/>
  <c r="V78" i="4"/>
  <c r="AF8" i="4"/>
  <c r="AC8" i="4" a="1"/>
  <c r="AC8" i="4" s="1"/>
  <c r="AG8" i="4" s="1"/>
  <c r="AF24" i="4"/>
  <c r="AC24" i="4" a="1"/>
  <c r="AC24" i="4" s="1"/>
  <c r="AG24" i="4" s="1"/>
  <c r="M74" i="4"/>
  <c r="M75" i="4"/>
  <c r="M61" i="4"/>
  <c r="U74" i="4"/>
  <c r="U75" i="4"/>
  <c r="U61" i="4"/>
  <c r="G64" i="4"/>
  <c r="G78" i="4"/>
  <c r="W64" i="4"/>
  <c r="W78" i="4"/>
  <c r="AF9" i="4"/>
  <c r="AC9" i="4" a="1"/>
  <c r="AC9" i="4" s="1"/>
  <c r="AG9" i="4" s="1"/>
  <c r="AF25" i="4"/>
  <c r="AC25" i="4" a="1"/>
  <c r="AC25" i="4" s="1"/>
  <c r="AG25" i="4" s="1"/>
  <c r="AF17" i="4"/>
  <c r="AC17" i="4" a="1"/>
  <c r="AC17" i="4" s="1"/>
  <c r="AG17" i="4" s="1"/>
  <c r="J74" i="4"/>
  <c r="J61" i="4"/>
  <c r="J75" i="4"/>
  <c r="R74" i="4"/>
  <c r="R75" i="4"/>
  <c r="R61" i="4"/>
  <c r="Z61" i="4"/>
  <c r="Z74" i="4"/>
  <c r="Z75" i="4"/>
  <c r="L64" i="4"/>
  <c r="L78" i="4"/>
  <c r="T64" i="4"/>
  <c r="T78" i="4"/>
  <c r="AC2" i="4" a="1"/>
  <c r="AC2" i="4" s="1"/>
  <c r="AG2" i="4" s="1"/>
  <c r="AF3" i="4"/>
  <c r="AC10" i="4" a="1"/>
  <c r="AC10" i="4" s="1"/>
  <c r="AG10" i="4" s="1"/>
  <c r="AF11" i="4"/>
  <c r="AF15" i="4"/>
  <c r="AC18" i="4" a="1"/>
  <c r="AC18" i="4" s="1"/>
  <c r="AG18" i="4" s="1"/>
  <c r="AC22" i="4" a="1"/>
  <c r="AC22" i="4" s="1"/>
  <c r="AG22" i="4" s="1"/>
  <c r="AF23" i="4"/>
  <c r="AC26" i="4" a="1"/>
  <c r="AC26" i="4" s="1"/>
  <c r="AG26" i="4" s="1"/>
  <c r="AF27" i="4"/>
  <c r="AC30" i="4" a="1"/>
  <c r="AC30" i="4" s="1"/>
  <c r="AG30" i="4" s="1"/>
  <c r="AF31" i="4"/>
  <c r="AC34" i="4" a="1"/>
  <c r="AC34" i="4" s="1"/>
  <c r="AG34" i="4" s="1"/>
  <c r="AC37" i="4" a="1"/>
  <c r="AC37" i="4" s="1"/>
  <c r="AG37" i="4" s="1"/>
  <c r="AF38" i="4"/>
  <c r="AC41" i="4" a="1"/>
  <c r="AC41" i="4" s="1"/>
  <c r="AG41" i="4" s="1"/>
  <c r="AF42" i="4"/>
  <c r="AC45" i="4" a="1"/>
  <c r="AC45" i="4" s="1"/>
  <c r="AG45" i="4" s="1"/>
  <c r="AF46" i="4"/>
  <c r="AC49" i="4" a="1"/>
  <c r="AC49" i="4" s="1"/>
  <c r="AG49" i="4" s="1"/>
  <c r="AF50" i="4"/>
  <c r="AC53" i="4" a="1"/>
  <c r="AC53" i="4" s="1"/>
  <c r="AG53" i="4" s="1"/>
  <c r="AF54" i="4"/>
  <c r="AC57" i="4" a="1"/>
  <c r="AC57" i="4" s="1"/>
  <c r="AG57" i="4" s="1"/>
  <c r="AC6" i="4" a="1"/>
  <c r="AC6" i="4" s="1"/>
  <c r="AG6" i="4" s="1"/>
  <c r="AF7" i="4"/>
  <c r="AC14" i="4" a="1"/>
  <c r="AC14" i="4" s="1"/>
  <c r="AG14" i="4" s="1"/>
  <c r="AF19" i="4"/>
  <c r="AC33" i="4" a="1"/>
  <c r="AC33" i="4" s="1"/>
  <c r="AG33" i="4" s="1"/>
  <c r="AC40" i="4" a="1"/>
  <c r="AC40" i="4" s="1"/>
  <c r="AG40" i="4" s="1"/>
  <c r="AC44" i="4" a="1"/>
  <c r="AC44" i="4" s="1"/>
  <c r="AG44" i="4" s="1"/>
  <c r="AC48" i="4" a="1"/>
  <c r="AC48" i="4" s="1"/>
  <c r="AG48" i="4" s="1"/>
  <c r="AC52" i="4" a="1"/>
  <c r="AC52" i="4" s="1"/>
  <c r="AG52" i="4" s="1"/>
  <c r="AC56" i="4" a="1"/>
  <c r="AC56" i="4" s="1"/>
  <c r="AG56" i="4" s="1"/>
  <c r="AC43" i="4" a="1"/>
  <c r="AC43" i="4" s="1"/>
  <c r="AG43" i="4" s="1"/>
  <c r="AC47" i="4" a="1"/>
  <c r="AC47" i="4" s="1"/>
  <c r="AG47" i="4" s="1"/>
  <c r="AC51" i="4" a="1"/>
  <c r="AC51" i="4" s="1"/>
  <c r="AG51" i="4" s="1"/>
  <c r="AC55" i="4" a="1"/>
  <c r="AC55" i="4" s="1"/>
  <c r="AG55" i="4" s="1"/>
  <c r="G68" i="1"/>
  <c r="U68" i="1"/>
  <c r="M68" i="1"/>
  <c r="W75" i="1"/>
  <c r="O75" i="1"/>
  <c r="G75" i="1"/>
  <c r="AC78" i="1"/>
  <c r="AA64" i="1"/>
  <c r="S64" i="1"/>
  <c r="K64" i="1"/>
  <c r="AF55" i="1"/>
  <c r="AF51" i="1"/>
  <c r="AF47" i="1"/>
  <c r="AF43" i="1"/>
  <c r="AF39" i="1"/>
  <c r="V75" i="1"/>
  <c r="N75" i="1"/>
  <c r="U75" i="1"/>
  <c r="M75" i="1"/>
  <c r="Y64" i="1"/>
  <c r="Q64" i="1"/>
  <c r="I64" i="1"/>
  <c r="AF54" i="1"/>
  <c r="AF50" i="1"/>
  <c r="AF46" i="1"/>
  <c r="AF42" i="1"/>
  <c r="AF38" i="1"/>
  <c r="F75" i="1"/>
  <c r="T75" i="1"/>
  <c r="L75" i="1"/>
  <c r="X64" i="1"/>
  <c r="P64" i="1"/>
  <c r="H64" i="1"/>
  <c r="S75" i="1"/>
  <c r="K75" i="1"/>
  <c r="W64" i="1"/>
  <c r="O64" i="1"/>
  <c r="AF57" i="1"/>
  <c r="AF53" i="1"/>
  <c r="AF49" i="1"/>
  <c r="AF45" i="1"/>
  <c r="AF41" i="1"/>
  <c r="AF37" i="1"/>
  <c r="Z75" i="1"/>
  <c r="R75" i="1"/>
  <c r="J75" i="1"/>
  <c r="V64" i="1"/>
  <c r="N64" i="1"/>
  <c r="F68" i="1"/>
  <c r="T68" i="1"/>
  <c r="L68" i="1"/>
  <c r="R32" i="3"/>
  <c r="Y75" i="1"/>
  <c r="Q75" i="1"/>
  <c r="I75" i="1"/>
  <c r="AF56" i="1"/>
  <c r="AF52" i="1"/>
  <c r="AF48" i="1"/>
  <c r="AF44" i="1"/>
  <c r="AF40" i="1"/>
  <c r="X75" i="1"/>
  <c r="P75" i="1"/>
  <c r="H75" i="1"/>
  <c r="AC75" i="1" s="1"/>
  <c r="G24" i="3"/>
  <c r="O24" i="3"/>
  <c r="W24" i="3"/>
  <c r="H24" i="3"/>
  <c r="P24" i="3"/>
  <c r="X24" i="3"/>
  <c r="N24" i="3"/>
  <c r="V24" i="3"/>
  <c r="K24" i="3"/>
  <c r="S24" i="3"/>
  <c r="AA24" i="3"/>
  <c r="L24" i="3"/>
  <c r="T24" i="3"/>
  <c r="M24" i="3"/>
  <c r="U24" i="3"/>
  <c r="Q24" i="3"/>
  <c r="Y24" i="3"/>
  <c r="I24" i="3"/>
  <c r="AF17" i="3"/>
  <c r="AC17" i="3" a="1"/>
  <c r="AC17" i="3" s="1"/>
  <c r="AG17" i="3" s="1"/>
  <c r="AF14" i="3"/>
  <c r="AC14" i="3" a="1"/>
  <c r="AC14" i="3" s="1"/>
  <c r="AG14" i="3" s="1"/>
  <c r="AC10" i="3" a="1"/>
  <c r="AC10" i="3" s="1"/>
  <c r="AG10" i="3" s="1"/>
  <c r="AF10" i="3"/>
  <c r="AF12" i="3"/>
  <c r="AC12" i="3" a="1"/>
  <c r="AC12" i="3" s="1"/>
  <c r="AG12" i="3" s="1"/>
  <c r="J24" i="3"/>
  <c r="F24" i="3"/>
  <c r="Z24" i="3"/>
  <c r="AC8" i="3" a="1"/>
  <c r="AC8" i="3" s="1"/>
  <c r="AG8" i="3" s="1"/>
  <c r="AF8" i="3"/>
  <c r="AF11" i="3"/>
  <c r="AC11" i="3" a="1"/>
  <c r="AC11" i="3" s="1"/>
  <c r="AG11" i="3" s="1"/>
  <c r="AF13" i="3"/>
  <c r="AC13" i="3" a="1"/>
  <c r="AC13" i="3" s="1"/>
  <c r="AG13" i="3" s="1"/>
  <c r="AF9" i="3"/>
  <c r="AC9" i="3" a="1"/>
  <c r="AC9" i="3" s="1"/>
  <c r="AG9" i="3" s="1"/>
  <c r="AC2" i="3" a="1"/>
  <c r="AC2" i="3" s="1"/>
  <c r="AG2" i="3" s="1"/>
  <c r="AF2" i="3"/>
  <c r="AF3" i="3"/>
  <c r="AC3" i="3" a="1"/>
  <c r="AC3" i="3" s="1"/>
  <c r="AG3" i="3" s="1"/>
  <c r="AF4" i="3"/>
  <c r="AC4" i="3" a="1"/>
  <c r="AC4" i="3" s="1"/>
  <c r="AG4" i="3" s="1"/>
  <c r="AC5" i="3" a="1"/>
  <c r="AC5" i="3" s="1"/>
  <c r="AG5" i="3" s="1"/>
  <c r="AF5" i="3"/>
  <c r="AC15" i="3" a="1"/>
  <c r="AC15" i="3" s="1"/>
  <c r="AG15" i="3" s="1"/>
  <c r="AF15" i="3"/>
  <c r="AF6" i="3"/>
  <c r="AC6" i="3" a="1"/>
  <c r="AC6" i="3" s="1"/>
  <c r="AG6" i="3" s="1"/>
  <c r="AF16" i="3"/>
  <c r="AC16" i="3" a="1"/>
  <c r="AC16" i="3" s="1"/>
  <c r="AG16" i="3" s="1"/>
  <c r="AC7" i="3" a="1"/>
  <c r="AC7" i="3" s="1"/>
  <c r="AG7" i="3" s="1"/>
  <c r="AF7" i="3"/>
  <c r="AC2" i="1" a="1"/>
  <c r="AC2" i="1" s="1"/>
  <c r="AG2" i="1" s="1"/>
  <c r="AC7" i="1" a="1"/>
  <c r="AC7" i="1" s="1"/>
  <c r="AG7" i="1" s="1"/>
  <c r="AC14" i="1" a="1"/>
  <c r="AC14" i="1" s="1"/>
  <c r="AG14" i="1" s="1"/>
  <c r="AF32" i="1"/>
  <c r="AF29" i="1"/>
  <c r="AF24" i="1"/>
  <c r="AF16" i="1"/>
  <c r="AF19" i="1"/>
  <c r="AC13" i="1" a="1"/>
  <c r="AC13" i="1" s="1"/>
  <c r="AG13" i="1" s="1"/>
  <c r="AC6" i="1" a="1"/>
  <c r="AC6" i="1" s="1"/>
  <c r="AG6" i="1" s="1"/>
  <c r="AC5" i="1" a="1"/>
  <c r="AC5" i="1" s="1"/>
  <c r="AG5" i="1" s="1"/>
  <c r="AF28" i="1"/>
  <c r="AF23" i="1"/>
  <c r="AF15" i="1"/>
  <c r="AF11" i="1"/>
  <c r="AC12" i="1" a="1"/>
  <c r="AC12" i="1" s="1"/>
  <c r="AG12" i="1" s="1"/>
  <c r="AC3" i="1" a="1"/>
  <c r="AC3" i="1" s="1"/>
  <c r="AG3" i="1" s="1"/>
  <c r="AF31" i="1"/>
  <c r="AF26" i="1"/>
  <c r="AF22" i="1"/>
  <c r="AF18" i="1"/>
  <c r="AF10" i="1"/>
  <c r="AC9" i="1" a="1"/>
  <c r="AC9" i="1" s="1"/>
  <c r="AG9" i="1" s="1"/>
  <c r="AF34" i="1"/>
  <c r="AF30" i="1"/>
  <c r="AF25" i="1"/>
  <c r="AF21" i="1"/>
  <c r="AF17" i="1"/>
  <c r="AC8" i="1" a="1"/>
  <c r="AC8" i="1" s="1"/>
  <c r="AG8" i="1" s="1"/>
  <c r="AF33" i="1"/>
  <c r="AF20" i="1"/>
  <c r="AF4" i="1"/>
  <c r="AC4" i="1" a="1"/>
  <c r="AC4" i="1" s="1"/>
  <c r="AG4" i="1" s="1"/>
  <c r="AF27" i="1"/>
  <c r="BD63" i="14" l="1"/>
  <c r="W31" i="8"/>
  <c r="X19" i="8"/>
  <c r="X18" i="8"/>
  <c r="X16" i="8"/>
  <c r="X40" i="8"/>
  <c r="X15" i="8"/>
  <c r="X14" i="8"/>
  <c r="X17" i="8"/>
  <c r="X2" i="8"/>
  <c r="X11" i="8"/>
  <c r="X10" i="8"/>
  <c r="X9" i="8"/>
  <c r="X8" i="8"/>
  <c r="X7" i="8"/>
  <c r="X5" i="8"/>
  <c r="X4" i="8"/>
  <c r="X6" i="8"/>
  <c r="X3" i="8"/>
  <c r="X12" i="8"/>
  <c r="X38" i="8"/>
  <c r="X13" i="8"/>
  <c r="R68" i="6"/>
  <c r="J64" i="6"/>
  <c r="T64" i="6"/>
  <c r="N68" i="6"/>
  <c r="Q64" i="6"/>
  <c r="R64" i="6"/>
  <c r="Z64" i="6"/>
  <c r="Y64" i="6"/>
  <c r="T68" i="6"/>
  <c r="I64" i="6"/>
  <c r="F68" i="6"/>
  <c r="L64" i="6"/>
  <c r="AA64" i="6"/>
  <c r="AA68" i="6"/>
  <c r="M64" i="6"/>
  <c r="M68" i="6"/>
  <c r="Y68" i="6"/>
  <c r="X79" i="6"/>
  <c r="P79" i="6"/>
  <c r="H79" i="6"/>
  <c r="AC71" i="6"/>
  <c r="V79" i="6"/>
  <c r="N79" i="6"/>
  <c r="F79" i="6"/>
  <c r="U79" i="6"/>
  <c r="M79" i="6"/>
  <c r="T79" i="6"/>
  <c r="L79" i="6"/>
  <c r="AA79" i="6"/>
  <c r="S79" i="6"/>
  <c r="K79" i="6"/>
  <c r="Z79" i="6"/>
  <c r="R79" i="6"/>
  <c r="J79" i="6"/>
  <c r="Y79" i="6"/>
  <c r="Q79" i="6"/>
  <c r="I79" i="6"/>
  <c r="W79" i="6"/>
  <c r="O79" i="6"/>
  <c r="G79" i="6"/>
  <c r="S64" i="6"/>
  <c r="S68" i="6"/>
  <c r="P64" i="6"/>
  <c r="P68" i="6"/>
  <c r="K64" i="6"/>
  <c r="K68" i="6"/>
  <c r="F342" i="6"/>
  <c r="F334" i="6"/>
  <c r="F326" i="6"/>
  <c r="F318" i="6"/>
  <c r="F310" i="6"/>
  <c r="F302" i="6"/>
  <c r="F294" i="6"/>
  <c r="F286" i="6"/>
  <c r="F278" i="6"/>
  <c r="F270" i="6"/>
  <c r="F262" i="6"/>
  <c r="F254" i="6"/>
  <c r="F246" i="6"/>
  <c r="F238" i="6"/>
  <c r="F230" i="6"/>
  <c r="F222" i="6"/>
  <c r="F214" i="6"/>
  <c r="F206" i="6"/>
  <c r="F198" i="6"/>
  <c r="F190" i="6"/>
  <c r="F182" i="6"/>
  <c r="F174" i="6"/>
  <c r="F166" i="6"/>
  <c r="F158" i="6"/>
  <c r="F150" i="6"/>
  <c r="F142" i="6"/>
  <c r="F134" i="6"/>
  <c r="F126" i="6"/>
  <c r="F118" i="6"/>
  <c r="F110" i="6"/>
  <c r="V78" i="6"/>
  <c r="N78" i="6"/>
  <c r="F78" i="6"/>
  <c r="F341" i="6"/>
  <c r="F333" i="6"/>
  <c r="F325" i="6"/>
  <c r="F317" i="6"/>
  <c r="F309" i="6"/>
  <c r="F301" i="6"/>
  <c r="F293" i="6"/>
  <c r="F285" i="6"/>
  <c r="F277" i="6"/>
  <c r="F269" i="6"/>
  <c r="F261" i="6"/>
  <c r="F253" i="6"/>
  <c r="F245" i="6"/>
  <c r="F237" i="6"/>
  <c r="F229" i="6"/>
  <c r="F221" i="6"/>
  <c r="F213" i="6"/>
  <c r="F205" i="6"/>
  <c r="F197" i="6"/>
  <c r="F189" i="6"/>
  <c r="F181" i="6"/>
  <c r="F173" i="6"/>
  <c r="F165" i="6"/>
  <c r="F157" i="6"/>
  <c r="F149" i="6"/>
  <c r="F141" i="6"/>
  <c r="F133" i="6"/>
  <c r="F125" i="6"/>
  <c r="F117" i="6"/>
  <c r="F340" i="6"/>
  <c r="F332" i="6"/>
  <c r="F324" i="6"/>
  <c r="F316" i="6"/>
  <c r="F308" i="6"/>
  <c r="F300" i="6"/>
  <c r="F292" i="6"/>
  <c r="F284" i="6"/>
  <c r="F276" i="6"/>
  <c r="F268" i="6"/>
  <c r="F260" i="6"/>
  <c r="F252" i="6"/>
  <c r="F244" i="6"/>
  <c r="F236" i="6"/>
  <c r="F228" i="6"/>
  <c r="F220" i="6"/>
  <c r="F212" i="6"/>
  <c r="F204" i="6"/>
  <c r="F196" i="6"/>
  <c r="F188" i="6"/>
  <c r="F180" i="6"/>
  <c r="F172" i="6"/>
  <c r="F164" i="6"/>
  <c r="F156" i="6"/>
  <c r="F148" i="6"/>
  <c r="F140" i="6"/>
  <c r="F132" i="6"/>
  <c r="F124" i="6"/>
  <c r="F116" i="6"/>
  <c r="F109" i="6"/>
  <c r="T78" i="6"/>
  <c r="L78" i="6"/>
  <c r="F339" i="6"/>
  <c r="F331" i="6"/>
  <c r="F323" i="6"/>
  <c r="F315" i="6"/>
  <c r="F307" i="6"/>
  <c r="F299" i="6"/>
  <c r="F291" i="6"/>
  <c r="F283" i="6"/>
  <c r="F275" i="6"/>
  <c r="F267" i="6"/>
  <c r="F259" i="6"/>
  <c r="F251" i="6"/>
  <c r="F243" i="6"/>
  <c r="F235" i="6"/>
  <c r="F227" i="6"/>
  <c r="F219" i="6"/>
  <c r="F211" i="6"/>
  <c r="F203" i="6"/>
  <c r="F195" i="6"/>
  <c r="F187" i="6"/>
  <c r="F179" i="6"/>
  <c r="F171" i="6"/>
  <c r="F163" i="6"/>
  <c r="F155" i="6"/>
  <c r="F147" i="6"/>
  <c r="F139" i="6"/>
  <c r="F131" i="6"/>
  <c r="F123" i="6"/>
  <c r="F115" i="6"/>
  <c r="AA78" i="6"/>
  <c r="S78" i="6"/>
  <c r="K78" i="6"/>
  <c r="F338" i="6"/>
  <c r="F330" i="6"/>
  <c r="F322" i="6"/>
  <c r="F314" i="6"/>
  <c r="F306" i="6"/>
  <c r="F298" i="6"/>
  <c r="F290" i="6"/>
  <c r="F282" i="6"/>
  <c r="F274" i="6"/>
  <c r="F266" i="6"/>
  <c r="F258" i="6"/>
  <c r="F250" i="6"/>
  <c r="F242" i="6"/>
  <c r="F234" i="6"/>
  <c r="F226" i="6"/>
  <c r="F218" i="6"/>
  <c r="F210" i="6"/>
  <c r="F202" i="6"/>
  <c r="F194" i="6"/>
  <c r="F186" i="6"/>
  <c r="F178" i="6"/>
  <c r="F170" i="6"/>
  <c r="F162" i="6"/>
  <c r="F154" i="6"/>
  <c r="F146" i="6"/>
  <c r="F138" i="6"/>
  <c r="F130" i="6"/>
  <c r="F122" i="6"/>
  <c r="F114" i="6"/>
  <c r="Z78" i="6"/>
  <c r="R78" i="6"/>
  <c r="J78" i="6"/>
  <c r="F337" i="6"/>
  <c r="F329" i="6"/>
  <c r="F321" i="6"/>
  <c r="F313" i="6"/>
  <c r="F305" i="6"/>
  <c r="F297" i="6"/>
  <c r="F289" i="6"/>
  <c r="F281" i="6"/>
  <c r="F273" i="6"/>
  <c r="F265" i="6"/>
  <c r="F257" i="6"/>
  <c r="F249" i="6"/>
  <c r="F241" i="6"/>
  <c r="F233" i="6"/>
  <c r="F225" i="6"/>
  <c r="F217" i="6"/>
  <c r="F209" i="6"/>
  <c r="F201" i="6"/>
  <c r="F193" i="6"/>
  <c r="F185" i="6"/>
  <c r="F177" i="6"/>
  <c r="F169" i="6"/>
  <c r="F161" i="6"/>
  <c r="F153" i="6"/>
  <c r="F145" i="6"/>
  <c r="F137" i="6"/>
  <c r="F129" i="6"/>
  <c r="F121" i="6"/>
  <c r="F113" i="6"/>
  <c r="Y78" i="6"/>
  <c r="Q78" i="6"/>
  <c r="I78" i="6"/>
  <c r="F336" i="6"/>
  <c r="F328" i="6"/>
  <c r="F320" i="6"/>
  <c r="F312" i="6"/>
  <c r="F304" i="6"/>
  <c r="F296" i="6"/>
  <c r="F288" i="6"/>
  <c r="F280" i="6"/>
  <c r="F272" i="6"/>
  <c r="F264" i="6"/>
  <c r="F256" i="6"/>
  <c r="F248" i="6"/>
  <c r="F240" i="6"/>
  <c r="F232" i="6"/>
  <c r="F224" i="6"/>
  <c r="F216" i="6"/>
  <c r="F208" i="6"/>
  <c r="F200" i="6"/>
  <c r="F192" i="6"/>
  <c r="F184" i="6"/>
  <c r="F176" i="6"/>
  <c r="F168" i="6"/>
  <c r="F160" i="6"/>
  <c r="F152" i="6"/>
  <c r="F144" i="6"/>
  <c r="F136" i="6"/>
  <c r="F128" i="6"/>
  <c r="F120" i="6"/>
  <c r="F112" i="6"/>
  <c r="X78" i="6"/>
  <c r="P78" i="6"/>
  <c r="H78" i="6"/>
  <c r="F335" i="6"/>
  <c r="F327" i="6"/>
  <c r="F319" i="6"/>
  <c r="F311" i="6"/>
  <c r="F303" i="6"/>
  <c r="F295" i="6"/>
  <c r="F287" i="6"/>
  <c r="F279" i="6"/>
  <c r="F271" i="6"/>
  <c r="F263" i="6"/>
  <c r="F255" i="6"/>
  <c r="F247" i="6"/>
  <c r="F239" i="6"/>
  <c r="F231" i="6"/>
  <c r="F223" i="6"/>
  <c r="F215" i="6"/>
  <c r="F207" i="6"/>
  <c r="F199" i="6"/>
  <c r="F191" i="6"/>
  <c r="F183" i="6"/>
  <c r="F175" i="6"/>
  <c r="F167" i="6"/>
  <c r="F159" i="6"/>
  <c r="F151" i="6"/>
  <c r="F143" i="6"/>
  <c r="F135" i="6"/>
  <c r="F127" i="6"/>
  <c r="F119" i="6"/>
  <c r="F111" i="6"/>
  <c r="W78" i="6"/>
  <c r="O78" i="6"/>
  <c r="G78" i="6"/>
  <c r="AC70" i="6"/>
  <c r="U78" i="6"/>
  <c r="M78" i="6"/>
  <c r="H64" i="6"/>
  <c r="H68" i="6"/>
  <c r="W68" i="6"/>
  <c r="W64" i="6"/>
  <c r="V68" i="6"/>
  <c r="X64" i="6"/>
  <c r="X68" i="6"/>
  <c r="G68" i="6"/>
  <c r="G64" i="6"/>
  <c r="L68" i="6"/>
  <c r="AC74" i="6"/>
  <c r="U64" i="6"/>
  <c r="U68" i="6"/>
  <c r="O68" i="6"/>
  <c r="O64" i="6"/>
  <c r="AC78" i="4"/>
  <c r="T68" i="4"/>
  <c r="T72" i="4"/>
  <c r="AA82" i="4"/>
  <c r="S82" i="4"/>
  <c r="K82" i="4"/>
  <c r="Z82" i="4"/>
  <c r="R82" i="4"/>
  <c r="J82" i="4"/>
  <c r="Y82" i="4"/>
  <c r="Q82" i="4"/>
  <c r="I82" i="4"/>
  <c r="X82" i="4"/>
  <c r="P82" i="4"/>
  <c r="H82" i="4"/>
  <c r="W82" i="4"/>
  <c r="O82" i="4"/>
  <c r="G82" i="4"/>
  <c r="AC74" i="4"/>
  <c r="V82" i="4"/>
  <c r="N82" i="4"/>
  <c r="F82" i="4"/>
  <c r="U82" i="4"/>
  <c r="M82" i="4"/>
  <c r="T82" i="4"/>
  <c r="L82" i="4"/>
  <c r="W72" i="4"/>
  <c r="W68" i="4"/>
  <c r="N72" i="4"/>
  <c r="N68" i="4"/>
  <c r="K68" i="4"/>
  <c r="K72" i="4"/>
  <c r="R68" i="4"/>
  <c r="R72" i="4"/>
  <c r="M68" i="4"/>
  <c r="M72" i="4"/>
  <c r="G72" i="4"/>
  <c r="G68" i="4"/>
  <c r="Q68" i="4"/>
  <c r="Q72" i="4"/>
  <c r="H68" i="4"/>
  <c r="H72" i="4"/>
  <c r="P68" i="4"/>
  <c r="P72" i="4"/>
  <c r="X68" i="4"/>
  <c r="X72" i="4"/>
  <c r="Y68" i="4"/>
  <c r="Y72" i="4"/>
  <c r="I68" i="4"/>
  <c r="I72" i="4"/>
  <c r="V72" i="4"/>
  <c r="V68" i="4"/>
  <c r="S68" i="4"/>
  <c r="S72" i="4"/>
  <c r="Z68" i="4"/>
  <c r="Z72" i="4"/>
  <c r="U68" i="4"/>
  <c r="U72" i="4"/>
  <c r="F72" i="4"/>
  <c r="F68" i="4"/>
  <c r="J68" i="4"/>
  <c r="J72" i="4"/>
  <c r="AA68" i="4"/>
  <c r="AA72" i="4"/>
  <c r="U83" i="4"/>
  <c r="M83" i="4"/>
  <c r="T83" i="4"/>
  <c r="L83" i="4"/>
  <c r="AA83" i="4"/>
  <c r="S83" i="4"/>
  <c r="K83" i="4"/>
  <c r="Z83" i="4"/>
  <c r="R83" i="4"/>
  <c r="J83" i="4"/>
  <c r="Y83" i="4"/>
  <c r="Q83" i="4"/>
  <c r="I83" i="4"/>
  <c r="X83" i="4"/>
  <c r="P83" i="4"/>
  <c r="H83" i="4"/>
  <c r="AC75" i="4"/>
  <c r="W83" i="4"/>
  <c r="O83" i="4"/>
  <c r="G83" i="4"/>
  <c r="V83" i="4"/>
  <c r="N83" i="4"/>
  <c r="F83" i="4"/>
  <c r="L68" i="4"/>
  <c r="L72" i="4"/>
  <c r="O72" i="4"/>
  <c r="O68" i="4"/>
  <c r="M29" i="3"/>
  <c r="M32" i="3"/>
  <c r="I29" i="3"/>
  <c r="I32" i="3"/>
  <c r="S29" i="3"/>
  <c r="S32" i="3"/>
  <c r="O29" i="3"/>
  <c r="O32" i="3"/>
  <c r="Y29" i="3"/>
  <c r="Y32" i="3"/>
  <c r="K29" i="3"/>
  <c r="K32" i="3"/>
  <c r="G29" i="3"/>
  <c r="G32" i="3"/>
  <c r="K68" i="1"/>
  <c r="Q29" i="3"/>
  <c r="Q32" i="3"/>
  <c r="V29" i="3"/>
  <c r="V32" i="3"/>
  <c r="N68" i="1"/>
  <c r="H68" i="1"/>
  <c r="S68" i="1"/>
  <c r="U29" i="3"/>
  <c r="U32" i="3"/>
  <c r="N29" i="3"/>
  <c r="N32" i="3"/>
  <c r="V68" i="1"/>
  <c r="P68" i="1"/>
  <c r="AA68" i="1"/>
  <c r="X29" i="3"/>
  <c r="X32" i="3"/>
  <c r="X68" i="1"/>
  <c r="Z29" i="3"/>
  <c r="Z32" i="3"/>
  <c r="T29" i="3"/>
  <c r="T32" i="3"/>
  <c r="P29" i="3"/>
  <c r="P32" i="3"/>
  <c r="O68" i="1"/>
  <c r="I68" i="1"/>
  <c r="F29" i="3"/>
  <c r="F32" i="3"/>
  <c r="L29" i="3"/>
  <c r="L32" i="3"/>
  <c r="H29" i="3"/>
  <c r="H32" i="3"/>
  <c r="W68" i="1"/>
  <c r="Q68" i="1"/>
  <c r="J29" i="3"/>
  <c r="J32" i="3"/>
  <c r="AA29" i="3"/>
  <c r="AA32" i="3"/>
  <c r="W29" i="3"/>
  <c r="W32" i="3"/>
  <c r="Y68" i="1"/>
  <c r="X31" i="8" l="1"/>
  <c r="AC81" i="6"/>
  <c r="AC68" i="6"/>
  <c r="AC82" i="6"/>
  <c r="H109" i="6"/>
  <c r="AC85" i="4"/>
  <c r="AC86" i="4"/>
  <c r="AC72" i="4"/>
  <c r="AC3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<sst xmlns="http://schemas.openxmlformats.org/spreadsheetml/2006/main" count="7122" uniqueCount="203">
  <si>
    <t>Name</t>
  </si>
  <si>
    <t>Score_Min</t>
  </si>
  <si>
    <t>Score_Max</t>
  </si>
  <si>
    <t>Agathocles of Syracuse</t>
  </si>
  <si>
    <t>Ahab son of Omri</t>
  </si>
  <si>
    <t>Alcibiades</t>
  </si>
  <si>
    <t>Alexander the Great</t>
  </si>
  <si>
    <t>Apollonius of Tyana</t>
  </si>
  <si>
    <t>Aratus of Sicyon</t>
  </si>
  <si>
    <t>Aristotle</t>
  </si>
  <si>
    <t>Caesar Augustus</t>
  </si>
  <si>
    <t>Claudius</t>
  </si>
  <si>
    <t>Cleopatra</t>
  </si>
  <si>
    <t>Cyrus the Great</t>
  </si>
  <si>
    <t>Domitian</t>
  </si>
  <si>
    <t>Galba</t>
  </si>
  <si>
    <t>Hadrian</t>
  </si>
  <si>
    <t>Hiero II</t>
  </si>
  <si>
    <t>Julius Caear</t>
  </si>
  <si>
    <t>Mark Anthony</t>
  </si>
  <si>
    <t>Mithridates VI Eupator</t>
  </si>
  <si>
    <t>Nero</t>
  </si>
  <si>
    <t>Otho</t>
  </si>
  <si>
    <t>Pericles</t>
  </si>
  <si>
    <t>Plato</t>
  </si>
  <si>
    <t>Ptolemy I Soter</t>
  </si>
  <si>
    <t>Pyrrhus I of Epirus</t>
  </si>
  <si>
    <t>Pythagoras</t>
  </si>
  <si>
    <t>Solon</t>
  </si>
  <si>
    <t>Tiberius</t>
  </si>
  <si>
    <t>Titus</t>
  </si>
  <si>
    <t>Trajan</t>
  </si>
  <si>
    <t>Vespasian</t>
  </si>
  <si>
    <t>Vitellius</t>
  </si>
  <si>
    <t>Oedipus</t>
  </si>
  <si>
    <t>Theseus</t>
  </si>
  <si>
    <t>Romulus</t>
  </si>
  <si>
    <t>Heracles</t>
  </si>
  <si>
    <t>Perseus</t>
  </si>
  <si>
    <t>Jason</t>
  </si>
  <si>
    <t>Bellerophon</t>
  </si>
  <si>
    <t>Pelops</t>
  </si>
  <si>
    <t>Aslepius</t>
  </si>
  <si>
    <t>?</t>
  </si>
  <si>
    <t>Dionysus</t>
  </si>
  <si>
    <t>Apollo</t>
  </si>
  <si>
    <t>Zeus</t>
  </si>
  <si>
    <t>Joseph</t>
  </si>
  <si>
    <t>Moses</t>
  </si>
  <si>
    <t>Elijah</t>
  </si>
  <si>
    <t>Sigurd</t>
  </si>
  <si>
    <t>Arthur</t>
  </si>
  <si>
    <t>Nyikang</t>
  </si>
  <si>
    <t>X</t>
  </si>
  <si>
    <t>Caligula</t>
  </si>
  <si>
    <t>Min</t>
  </si>
  <si>
    <t>Max</t>
  </si>
  <si>
    <t>Demetrius I Poliorcetes</t>
  </si>
  <si>
    <t>Jesus</t>
  </si>
  <si>
    <t>HIST</t>
  </si>
  <si>
    <t>MYTH</t>
  </si>
  <si>
    <t>Watu Gunung</t>
  </si>
  <si>
    <t>Llew Llawgyffes</t>
  </si>
  <si>
    <t>Robin Hood</t>
  </si>
  <si>
    <t>Father is a king</t>
  </si>
  <si>
    <t>Father often a near relative to mother</t>
  </si>
  <si>
    <t>Unusual conception</t>
  </si>
  <si>
    <t>Attempt to kill hero as an infant, often by father or maternal grandfather</t>
  </si>
  <si>
    <t>Hero spirited away as a child</t>
  </si>
  <si>
    <t>Reared by foster parents in a far country</t>
  </si>
  <si>
    <t>No details of childhood</t>
  </si>
  <si>
    <t>Returns or goes to future kingdom</t>
  </si>
  <si>
    <t>Marries a princess (often daughter of predecessor)</t>
  </si>
  <si>
    <t>Becomes king</t>
  </si>
  <si>
    <t>For a time he reigns uneventfully</t>
  </si>
  <si>
    <t>He prescribes laws</t>
  </si>
  <si>
    <t>Later loses favor with gods or his subjects</t>
  </si>
  <si>
    <t>Driven from throne and city</t>
  </si>
  <si>
    <t>Meets with mysterious death</t>
  </si>
  <si>
    <t>Often at the top of a hill</t>
  </si>
  <si>
    <t>His children, if any, do not succeed him</t>
  </si>
  <si>
    <t>His body is not buried</t>
  </si>
  <si>
    <t>Has one or more holy sepulchers or tombs</t>
  </si>
  <si>
    <t>Mother is a royal virgin</t>
  </si>
  <si>
    <t>Hero reputed to be son of god</t>
  </si>
  <si>
    <t>Is victor over king, giant, dragon or wild beast</t>
  </si>
  <si>
    <t>T-Test</t>
  </si>
  <si>
    <t xml:space="preserve">At least one of their parents is of very high status (i.e., king, high priest, god, etc.) </t>
  </si>
  <si>
    <t xml:space="preserve">Their birth is prophesied or filled with auspicious signs. </t>
  </si>
  <si>
    <t xml:space="preserve">The hero/heroine is purportedly divine or the child of divine beings. </t>
  </si>
  <si>
    <t xml:space="preserve">An attempt is made on the life of the child, either while an infant or very young. </t>
  </si>
  <si>
    <t xml:space="preserve">The child/infant is saved from their murder by active intervention. </t>
  </si>
  <si>
    <t xml:space="preserve">The child/infant grows up away from their homeland or their place of future power. </t>
  </si>
  <si>
    <t>Almost nothing is said of their childhood except for examples of their prodigy.</t>
  </si>
  <si>
    <t>They come/return to the country that will honor them.</t>
  </si>
  <si>
    <t>They defeat the societal enemy. That enemy is either preternatural or is defeated by preternatural means.</t>
  </si>
  <si>
    <t xml:space="preserve">They are recognized for their heroic deeds and given authority and/or great honors. </t>
  </si>
  <si>
    <t xml:space="preserve">They have enforced orders or laws. </t>
  </si>
  <si>
    <t>For some time, before their authority is lost, they conduct matters under their established or recognized title.</t>
  </si>
  <si>
    <t>Their authority or honor is lost, and they are driven away.</t>
  </si>
  <si>
    <t xml:space="preserve">Any children do not carry on in power, authority, or honor. </t>
  </si>
  <si>
    <t xml:space="preserve">Their death is mystical, especially with the disappearance of their body. </t>
  </si>
  <si>
    <t xml:space="preserve">Their death or final sighting is at a high place. </t>
  </si>
  <si>
    <t>Achilles</t>
  </si>
  <si>
    <t>Tang Sanzang</t>
  </si>
  <si>
    <t>x</t>
  </si>
  <si>
    <t>Siegfried</t>
  </si>
  <si>
    <t>Asclepius</t>
  </si>
  <si>
    <t>Lleu Llaw Gyffes</t>
  </si>
  <si>
    <t>Sun Wu Kong</t>
  </si>
  <si>
    <t>Osiris</t>
  </si>
  <si>
    <t>Alexander</t>
  </si>
  <si>
    <t>One or more monuments remain enshrining their death/disappearance.</t>
  </si>
  <si>
    <t>Mithradates</t>
  </si>
  <si>
    <t>Hist</t>
  </si>
  <si>
    <t>Myth</t>
  </si>
  <si>
    <t>Aeneas</t>
  </si>
  <si>
    <t>Gilgamesh (Hel)</t>
  </si>
  <si>
    <t>Nezha</t>
  </si>
  <si>
    <t>Krishna</t>
  </si>
  <si>
    <t>TOTAL</t>
  </si>
  <si>
    <t>Karna</t>
  </si>
  <si>
    <t>Yudhishthira</t>
  </si>
  <si>
    <t>Rama</t>
  </si>
  <si>
    <t>Sun Wukong</t>
  </si>
  <si>
    <t>Horus</t>
  </si>
  <si>
    <t>Cadmus</t>
  </si>
  <si>
    <t>Fionn mac Cumhaill</t>
  </si>
  <si>
    <t>Kay Khusraw</t>
  </si>
  <si>
    <t>Fereydun</t>
  </si>
  <si>
    <t>Thánh Gióng</t>
  </si>
  <si>
    <t>Mwindo</t>
  </si>
  <si>
    <t>Hero Name</t>
  </si>
  <si>
    <t>Historical?</t>
  </si>
  <si>
    <t>Yes</t>
  </si>
  <si>
    <t>Notes</t>
  </si>
  <si>
    <t>Victory was not over a supernatural oppressor, but a representative of Ottoman power</t>
  </si>
  <si>
    <t>Country/Region</t>
  </si>
  <si>
    <t>Serbia</t>
  </si>
  <si>
    <t>China</t>
  </si>
  <si>
    <t>Great deed was collecting scrolls from India</t>
  </si>
  <si>
    <t>Sundiata Keita</t>
  </si>
  <si>
    <t>Mali</t>
  </si>
  <si>
    <t>Founder of Mali empire, but won power through political means, not supernatural conquest</t>
  </si>
  <si>
    <t>Ken Arok</t>
  </si>
  <si>
    <t>Java</t>
  </si>
  <si>
    <t>Only thing that might be supernatural in rise to power is a powerful weapon, but doesn't really fit</t>
  </si>
  <si>
    <t>Alexander III</t>
  </si>
  <si>
    <t>Macedonia</t>
  </si>
  <si>
    <t>Defeat of Persians through military prowess or luck (Persians falling through the ice)</t>
  </si>
  <si>
    <t>Sargon of Akkad</t>
  </si>
  <si>
    <t>Akkad</t>
  </si>
  <si>
    <t>Rise to power not against a supernatural agent or via supernatural means</t>
  </si>
  <si>
    <t>Mithridates of Pontus</t>
  </si>
  <si>
    <t>Pontus</t>
  </si>
  <si>
    <t>Overthrew his mother, but no supernatural element part of this story</t>
  </si>
  <si>
    <t>Persia</t>
  </si>
  <si>
    <t>Rise to power not clearly against a supernatural foe</t>
  </si>
  <si>
    <t>Prince Marko (Marko Mrnjavčević)</t>
  </si>
  <si>
    <t>Cúchulainn</t>
  </si>
  <si>
    <t>Rostam</t>
  </si>
  <si>
    <t>Maui</t>
  </si>
  <si>
    <t>Status</t>
  </si>
  <si>
    <t>Human</t>
  </si>
  <si>
    <t>LLM</t>
  </si>
  <si>
    <t>Agree</t>
  </si>
  <si>
    <t>Human&gt;LMM</t>
  </si>
  <si>
    <t>LMM&gt;Human</t>
  </si>
  <si>
    <t>Human=LLM=X</t>
  </si>
  <si>
    <t>Human=LLM&lt;&gt;X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</si>
  <si>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</si>
  <si>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</si>
  <si>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</si>
  <si>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</si>
  <si>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</si>
  <si>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</si>
  <si>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</si>
  <si>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</si>
  <si>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</si>
  <si>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</si>
  <si>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</si>
  <si>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</si>
  <si>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</si>
  <si>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</si>
  <si>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</si>
  <si>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</si>
  <si>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</si>
  <si>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Aggre_SUM</t>
  </si>
  <si>
    <t>More_H_SUM</t>
  </si>
  <si>
    <t>More_LLM_SUM</t>
  </si>
  <si>
    <t>Agg==X</t>
  </si>
  <si>
    <t>Agg&lt;&gt;X</t>
  </si>
  <si>
    <t>Agre_%</t>
  </si>
  <si>
    <t>Contingency Table</t>
  </si>
  <si>
    <t>Resulting Agreement</t>
  </si>
  <si>
    <t>O</t>
  </si>
  <si>
    <t>rm1</t>
  </si>
  <si>
    <t>rm2</t>
  </si>
  <si>
    <t>cm1</t>
  </si>
  <si>
    <t>cm2</t>
  </si>
  <si>
    <t>P(e)</t>
  </si>
  <si>
    <t>P(a)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</si>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</sst>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trike/>
      <sz val="12"/>
      <color theme="1"/>
      <name val="Aptos Narrow"/>
      <scheme val="minor"/>
    </font>
    <font>
      <b/>
      <strike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4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10" fontId="0" fillId="0" borderId="0" xfId="0" applyNumberFormat="1"/>
    <xf numFmtId="10" fontId="0" fillId="2" borderId="0" xfId="0" applyNumberFormat="1" applyFill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2" fontId="0" fillId="0" borderId="0" xfId="0" applyNumberFormat="1"/>
    <xf numFmtId="10" fontId="0" fillId="3" borderId="0" xfId="0" applyNumberFormat="1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0" fillId="0" borderId="0" xfId="1" applyNumberFormat="1" applyFont="1"/>
    <xf numFmtId="0" fontId="8" fillId="0" borderId="0" xfId="0" applyFont="1"/>
    <xf numFmtId="0" fontId="9" fillId="0" borderId="0" xfId="0" applyFont="1"/>
    <xf numFmtId="164" fontId="8" fillId="0" borderId="0" xfId="1" applyNumberFormat="1" applyFont="1"/>
    <xf numFmtId="164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title pos="t" align="ctr" overlay="0"/>
    <cx:plotArea>
      <cx:plotAreaRegion>
        <cx:series layoutId="clusteredColumn" uniqueId="{8FA33EDF-32DB-D848-B7ED-7480F1DADE7C}">
          <cx:dataPt idx="5"/>
          <cx:dataId val="0"/>
          <cx:layoutPr>
            <cx:binning intervalClosed="r" underflow="-0.5" overflow="0.5">
              <cx:binSize val="0.1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/>
    <cx:plotArea>
      <cx:plotAreaRegion>
        <cx:series layoutId="boxWhisker" uniqueId="{56BE9959-0065-FF4B-9DD1-9E36EAD2B1B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</cx:f>
      </cx:numDim>
    </cx:data>
  </cx:chartData>
  <cx:chart>
    <cx:title pos="t" align="ctr" overlay="0"/>
    <cx:plotArea>
      <cx:plotAreaRegion>
        <cx:series layoutId="boxWhisker" uniqueId="{85A081BA-FD22-2C40-8D57-9F72F5F8C496}"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</cx:f>
      </cx:numDim>
    </cx:data>
  </cx:chartData>
  <cx:chart>
    <cx:title pos="t" align="ctr" overlay="0"/>
    <cx:plotArea>
      <cx:plotAreaRegion>
        <cx:series layoutId="boxWhisker" uniqueId="{88D77871-64EC-3844-B791-4AB339A29F0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_xlchart.v1.4</cx:f>
      </cx:numDim>
    </cx:data>
  </cx:chartData>
  <cx:chart>
    <cx:title pos="t" align="ctr" overlay="0"/>
    <cx:plotArea>
      <cx:plotAreaRegion>
        <cx:series layoutId="boxWhisker" uniqueId="{B3437D92-056A-A440-8874-8E55E81E263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5D051CA8-8172-4342-81BA-ED0013D1465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RR Scores &gt;= 12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RR Scores &gt;= 12</a:t>
          </a:r>
        </a:p>
      </cx:txPr>
    </cx:title>
    <cx:plotArea>
      <cx:plotAreaRegion>
        <cx:series layoutId="boxWhisker" uniqueId="{86293858-9D2E-4D4C-B16F-80B8E943475C}">
          <cx:tx>
            <cx:txData>
              <cx:f/>
              <cx:v>Historical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E00-CD45-9B39-38410D379D90}">
          <cx:tx>
            <cx:txData>
              <cx:f/>
              <cx:v>Mythical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/>
    <cx:plotArea>
      <cx:plotAreaRegion>
        <cx:series layoutId="clusteredColumn" uniqueId="{D3741F30-AAF1-6F4A-BA85-6CF35BA73CF1}">
          <cx:dataPt idx="2"/>
          <cx:dataId val="0"/>
          <cx:layoutPr>
            <cx:binning intervalClosed="r">
              <cx:binCount val="1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_xlchart.v1.9</cx:f>
      </cx:numDim>
    </cx:data>
  </cx:chartData>
  <cx:chart>
    <cx:title pos="t" align="ctr" overlay="0"/>
    <cx:plotArea>
      <cx:plotAreaRegion>
        <cx:series layoutId="clusteredColumn" uniqueId="{8FA33EDF-32DB-D848-B7ED-7480F1DADE7C}">
          <cx:dataPt idx="5"/>
          <cx:dataId val="0"/>
          <cx:layoutPr>
            <cx:binning intervalClosed="r" underflow="-0.5" overflow="0.5">
              <cx:binSize val="0.1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_xlchart.v1.10</cx:f>
      </cx:numDim>
    </cx:data>
  </cx:chartData>
  <cx:chart>
    <cx:title pos="t" align="ctr" overlay="0"/>
    <cx:plotArea>
      <cx:plotAreaRegion>
        <cx:series layoutId="boxWhisker" uniqueId="{56BE9959-0065-FF4B-9DD1-9E36EAD2B1B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_xlchart.v1.11</cx:f>
      </cx:numDim>
    </cx:data>
  </cx:chartData>
  <cx:chart>
    <cx:title pos="t" align="ctr" overlay="0"/>
    <cx:plotArea>
      <cx:plotAreaRegion>
        <cx:series layoutId="boxWhisker" uniqueId="{85A081BA-FD22-2C40-8D57-9F72F5F8C496}"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_xlchart.v1.12</cx:f>
      </cx:numDim>
    </cx:data>
  </cx:chartData>
  <cx:chart>
    <cx:title pos="t" align="ctr" overlay="0"/>
    <cx:plotArea>
      <cx:plotAreaRegion>
        <cx:series layoutId="boxWhisker" uniqueId="{88D77871-64EC-3844-B791-4AB339A29F0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_xlchart.v1.13</cx:f>
      </cx:numDim>
    </cx:data>
  </cx:chartData>
  <cx:chart>
    <cx:title pos="t" align="ctr" overlay="0"/>
    <cx:plotArea>
      <cx:plotAreaRegion>
        <cx:series layoutId="boxWhisker" uniqueId="{B3437D92-056A-A440-8874-8E55E81E263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/>
    <cx:plotArea>
      <cx:plotAreaRegion>
        <cx:series layoutId="boxWhisker" uniqueId="{5D051CA8-8172-4342-81BA-ED0013D1465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_xlchart.v1.16</cx:f>
      </cx:numDim>
    </cx:data>
  </cx:chartData>
  <cx:chart>
    <cx:title pos="t" align="ctr" overlay="0">
      <cx:tx>
        <cx:txData>
          <cx:v>RR Scores &gt;= 12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RR Scores &gt;= 12</a:t>
          </a:r>
        </a:p>
      </cx:txPr>
    </cx:title>
    <cx:plotArea>
      <cx:plotAreaRegion>
        <cx:series layoutId="boxWhisker" uniqueId="{86293858-9D2E-4D4C-B16F-80B8E943475C}">
          <cx:tx>
            <cx:txData>
              <cx:f/>
              <cx:v>Historical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E00-CD45-9B39-38410D379D90}">
          <cx:tx>
            <cx:txData>
              <cx:f/>
              <cx:v>Mythical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_xlchart.v1.17</cx:f>
      </cx:numDim>
    </cx:data>
  </cx:chartData>
  <cx:chart>
    <cx:title pos="t" align="ctr" overlay="0"/>
    <cx:plotArea>
      <cx:plotAreaRegion>
        <cx:series layoutId="clusteredColumn" uniqueId="{8FA33EDF-32DB-D848-B7ED-7480F1DADE7C}">
          <cx:dataPt idx="5"/>
          <cx:dataId val="0"/>
          <cx:layoutPr>
            <cx:binning intervalClosed="r" underflow="-0.5" overflow="0.5">
              <cx:binSize val="0.1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_xlchart.v1.18</cx:f>
      </cx:numDim>
    </cx:data>
  </cx:chartData>
  <cx:chart>
    <cx:title pos="t" align="ctr" overlay="0"/>
    <cx:plotArea>
      <cx:plotAreaRegion>
        <cx:series layoutId="boxWhisker" uniqueId="{56BE9959-0065-FF4B-9DD1-9E36EAD2B1B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_xlchart.v1.19</cx:f>
      </cx:numDim>
    </cx:data>
  </cx:chartData>
  <cx:chart>
    <cx:title pos="t" align="ctr" overlay="0"/>
    <cx:plotArea>
      <cx:plotAreaRegion>
        <cx:series layoutId="boxWhisker" uniqueId="{85A081BA-FD22-2C40-8D57-9F72F5F8C496}"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_xlchart.v1.20</cx:f>
      </cx:numDim>
    </cx:data>
  </cx:chartData>
  <cx:chart>
    <cx:title pos="t" align="ctr" overlay="0"/>
    <cx:plotArea>
      <cx:plotAreaRegion>
        <cx:series layoutId="boxWhisker" uniqueId="{88D77871-64EC-3844-B791-4AB339A29F0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_xlchart.v1.21</cx:f>
      </cx:numDim>
    </cx:data>
  </cx:chartData>
  <cx:chart>
    <cx:title pos="t" align="ctr" overlay="0"/>
    <cx:plotArea>
      <cx:plotAreaRegion>
        <cx:series layoutId="boxWhisker" uniqueId="{B3437D92-056A-A440-8874-8E55E81E263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/>
    <cx:plotArea>
      <cx:plotAreaRegion>
        <cx:series layoutId="clusteredColumn" uniqueId="{E9FD1D28-BA02-C847-862C-01293261E2A5}"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1.xml"/><Relationship Id="rId7" Type="http://schemas.microsoft.com/office/2014/relationships/chartEx" Target="../charts/chartEx15.xml"/><Relationship Id="rId2" Type="http://schemas.microsoft.com/office/2014/relationships/chartEx" Target="../charts/chartEx10.xml"/><Relationship Id="rId1" Type="http://schemas.microsoft.com/office/2014/relationships/chartEx" Target="../charts/chartEx9.xml"/><Relationship Id="rId6" Type="http://schemas.microsoft.com/office/2014/relationships/chartEx" Target="../charts/chartEx14.xml"/><Relationship Id="rId5" Type="http://schemas.microsoft.com/office/2014/relationships/chartEx" Target="../charts/chartEx13.xml"/><Relationship Id="rId4" Type="http://schemas.microsoft.com/office/2014/relationships/chartEx" Target="../charts/chartEx1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8.xml"/><Relationship Id="rId2" Type="http://schemas.microsoft.com/office/2014/relationships/chartEx" Target="../charts/chartEx17.xml"/><Relationship Id="rId1" Type="http://schemas.microsoft.com/office/2014/relationships/chartEx" Target="../charts/chartEx16.xml"/><Relationship Id="rId5" Type="http://schemas.microsoft.com/office/2014/relationships/chartEx" Target="../charts/chartEx20.xml"/><Relationship Id="rId4" Type="http://schemas.microsoft.com/office/2014/relationships/chartEx" Target="../charts/chartEx19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349250</xdr:colOff>
      <xdr:row>56</xdr:row>
      <xdr:rowOff>69850</xdr:rowOff>
    </xdr:from>
    <xdr:to>
      <xdr:col>41</xdr:col>
      <xdr:colOff>342900</xdr:colOff>
      <xdr:row>75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A857800-5879-E14D-8C6D-8477DD7D25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92150" y="11487150"/>
              <a:ext cx="9074150" cy="3981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336550</xdr:colOff>
      <xdr:row>77</xdr:row>
      <xdr:rowOff>120650</xdr:rowOff>
    </xdr:from>
    <xdr:to>
      <xdr:col>35</xdr:col>
      <xdr:colOff>781050</xdr:colOff>
      <xdr:row>103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F0C976B-8EF2-E646-9CF2-EB5503ADF3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79450" y="15805150"/>
              <a:ext cx="4572000" cy="520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43</xdr:col>
      <xdr:colOff>120650</xdr:colOff>
      <xdr:row>55</xdr:row>
      <xdr:rowOff>152400</xdr:rowOff>
    </xdr:from>
    <xdr:to>
      <xdr:col>48</xdr:col>
      <xdr:colOff>565150</xdr:colOff>
      <xdr:row>83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4FD139D-8FAB-1344-883B-96CF35B174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95050" y="11366500"/>
              <a:ext cx="4572000" cy="572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349250</xdr:colOff>
      <xdr:row>79</xdr:row>
      <xdr:rowOff>114300</xdr:rowOff>
    </xdr:from>
    <xdr:to>
      <xdr:col>16</xdr:col>
      <xdr:colOff>793750</xdr:colOff>
      <xdr:row>105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2CB4C8C-FB12-0E4F-B873-8CB7105815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6050" y="16205200"/>
              <a:ext cx="4572000" cy="519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285750</xdr:colOff>
      <xdr:row>77</xdr:row>
      <xdr:rowOff>107950</xdr:rowOff>
    </xdr:from>
    <xdr:to>
      <xdr:col>41</xdr:col>
      <xdr:colOff>730250</xdr:colOff>
      <xdr:row>103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83417DC-109C-8E4C-B0E4-259C25EE2C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81650" y="15792450"/>
              <a:ext cx="4572000" cy="5175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117</xdr:row>
      <xdr:rowOff>0</xdr:rowOff>
    </xdr:from>
    <xdr:to>
      <xdr:col>13</xdr:col>
      <xdr:colOff>444500</xdr:colOff>
      <xdr:row>142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038E4EE-A3EB-F144-87BE-41D449FD37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80300" y="23812500"/>
              <a:ext cx="4572000" cy="525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34</xdr:col>
      <xdr:colOff>120650</xdr:colOff>
      <xdr:row>2</xdr:row>
      <xdr:rowOff>25400</xdr:rowOff>
    </xdr:from>
    <xdr:to>
      <xdr:col>41</xdr:col>
      <xdr:colOff>266700</xdr:colOff>
      <xdr:row>33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24AAADE-C3C7-1F4A-A966-E66C668769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65550" y="469900"/>
              <a:ext cx="5924550" cy="629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34</xdr:col>
      <xdr:colOff>44450</xdr:colOff>
      <xdr:row>34</xdr:row>
      <xdr:rowOff>25400</xdr:rowOff>
    </xdr:from>
    <xdr:to>
      <xdr:col>41</xdr:col>
      <xdr:colOff>279400</xdr:colOff>
      <xdr:row>52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C775113B-2728-B22B-CD21-1421F6489A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89350" y="6972300"/>
              <a:ext cx="6013450" cy="379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349250</xdr:colOff>
      <xdr:row>60</xdr:row>
      <xdr:rowOff>69850</xdr:rowOff>
    </xdr:from>
    <xdr:to>
      <xdr:col>41</xdr:col>
      <xdr:colOff>342900</xdr:colOff>
      <xdr:row>79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ED73BA7-B3D9-9278-F7FE-CAAC402183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92150" y="12299950"/>
              <a:ext cx="9074150" cy="3981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336550</xdr:colOff>
      <xdr:row>81</xdr:row>
      <xdr:rowOff>120650</xdr:rowOff>
    </xdr:from>
    <xdr:to>
      <xdr:col>35</xdr:col>
      <xdr:colOff>781050</xdr:colOff>
      <xdr:row>107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4D7F195-0EB9-5885-9854-73E66FB4B7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79450" y="16617950"/>
              <a:ext cx="4572000" cy="520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43</xdr:col>
      <xdr:colOff>158750</xdr:colOff>
      <xdr:row>56</xdr:row>
      <xdr:rowOff>76200</xdr:rowOff>
    </xdr:from>
    <xdr:to>
      <xdr:col>48</xdr:col>
      <xdr:colOff>603250</xdr:colOff>
      <xdr:row>84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F71E69F-C071-F332-0478-3CC990C4D9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33150" y="11493500"/>
              <a:ext cx="4572000" cy="572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349250</xdr:colOff>
      <xdr:row>83</xdr:row>
      <xdr:rowOff>114300</xdr:rowOff>
    </xdr:from>
    <xdr:to>
      <xdr:col>16</xdr:col>
      <xdr:colOff>793750</xdr:colOff>
      <xdr:row>109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57E7C9D-03F8-0317-8AE0-38056C1514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6050" y="17018000"/>
              <a:ext cx="4572000" cy="519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285750</xdr:colOff>
      <xdr:row>81</xdr:row>
      <xdr:rowOff>107950</xdr:rowOff>
    </xdr:from>
    <xdr:to>
      <xdr:col>41</xdr:col>
      <xdr:colOff>730250</xdr:colOff>
      <xdr:row>107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4FF0633-FB15-BBF8-5E00-341C4BB85B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81650" y="16605250"/>
              <a:ext cx="4572000" cy="5175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121</xdr:row>
      <xdr:rowOff>0</xdr:rowOff>
    </xdr:from>
    <xdr:to>
      <xdr:col>13</xdr:col>
      <xdr:colOff>444500</xdr:colOff>
      <xdr:row>146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8DC5C8B-D50B-7F44-9476-A5AFFCC646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80300" y="24625300"/>
              <a:ext cx="4572000" cy="525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34</xdr:col>
      <xdr:colOff>120650</xdr:colOff>
      <xdr:row>3</xdr:row>
      <xdr:rowOff>25400</xdr:rowOff>
    </xdr:from>
    <xdr:to>
      <xdr:col>41</xdr:col>
      <xdr:colOff>266700</xdr:colOff>
      <xdr:row>34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D6BE383F-B52D-0014-99F6-D48D98BD8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65550" y="673100"/>
              <a:ext cx="5924550" cy="629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349250</xdr:colOff>
      <xdr:row>60</xdr:row>
      <xdr:rowOff>69850</xdr:rowOff>
    </xdr:from>
    <xdr:to>
      <xdr:col>41</xdr:col>
      <xdr:colOff>342900</xdr:colOff>
      <xdr:row>79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4D5B2BA-73F1-104A-B84F-7958973639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90550" y="12299950"/>
              <a:ext cx="9074150" cy="3981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336550</xdr:colOff>
      <xdr:row>81</xdr:row>
      <xdr:rowOff>120650</xdr:rowOff>
    </xdr:from>
    <xdr:to>
      <xdr:col>35</xdr:col>
      <xdr:colOff>781050</xdr:colOff>
      <xdr:row>107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30BF35E-155E-114C-8BF0-77C38EB4FB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77850" y="16617950"/>
              <a:ext cx="4572000" cy="520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43</xdr:col>
      <xdr:colOff>158750</xdr:colOff>
      <xdr:row>56</xdr:row>
      <xdr:rowOff>76200</xdr:rowOff>
    </xdr:from>
    <xdr:to>
      <xdr:col>48</xdr:col>
      <xdr:colOff>603250</xdr:colOff>
      <xdr:row>84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E1FA524-82DD-764B-BDC4-5E2ACBF7EC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31550" y="11493500"/>
              <a:ext cx="4572000" cy="572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349250</xdr:colOff>
      <xdr:row>83</xdr:row>
      <xdr:rowOff>114300</xdr:rowOff>
    </xdr:from>
    <xdr:to>
      <xdr:col>16</xdr:col>
      <xdr:colOff>793750</xdr:colOff>
      <xdr:row>109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1F1D8BE-B7F4-1F40-8F17-37B74C9DBC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450" y="17018000"/>
              <a:ext cx="4572000" cy="519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285750</xdr:colOff>
      <xdr:row>81</xdr:row>
      <xdr:rowOff>107950</xdr:rowOff>
    </xdr:from>
    <xdr:to>
      <xdr:col>41</xdr:col>
      <xdr:colOff>730250</xdr:colOff>
      <xdr:row>107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A535F15-E04A-0542-AC46-781AEA6D97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80050" y="16605250"/>
              <a:ext cx="4572000" cy="5175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539750</xdr:colOff>
      <xdr:row>1</xdr:row>
      <xdr:rowOff>152400</xdr:rowOff>
    </xdr:from>
    <xdr:to>
      <xdr:col>37</xdr:col>
      <xdr:colOff>38100</xdr:colOff>
      <xdr:row>24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3B4C302-06B7-31D0-A6AA-83AD1EC596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58450" y="393700"/>
              <a:ext cx="7753350" cy="4711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3D09-1EA3-354E-81D8-3BF8CFAF6704}">
  <dimension ref="A1:Y51"/>
  <sheetViews>
    <sheetView workbookViewId="0">
      <selection activeCell="B2" sqref="B2"/>
    </sheetView>
  </sheetViews>
  <sheetFormatPr baseColWidth="10" defaultRowHeight="16" x14ac:dyDescent="0.2"/>
  <cols>
    <col min="1" max="1" width="20.1640625" bestFit="1" customWidth="1"/>
    <col min="2" max="2" width="20.1640625" customWidth="1"/>
  </cols>
  <sheetData>
    <row r="1" spans="1:25" ht="19" x14ac:dyDescent="0.25">
      <c r="A1" s="3" t="s">
        <v>0</v>
      </c>
      <c r="B1" s="3" t="s">
        <v>162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  <c r="W1" s="4">
        <v>21</v>
      </c>
      <c r="X1" s="4">
        <v>22</v>
      </c>
      <c r="Y1" s="10" t="s">
        <v>120</v>
      </c>
    </row>
    <row r="2" spans="1:25" x14ac:dyDescent="0.2">
      <c r="A2" t="s">
        <v>3</v>
      </c>
      <c r="B2" t="s">
        <v>114</v>
      </c>
      <c r="F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43</v>
      </c>
      <c r="Q2" t="s">
        <v>53</v>
      </c>
      <c r="R2" t="s">
        <v>53</v>
      </c>
      <c r="S2" t="s">
        <v>53</v>
      </c>
      <c r="T2" t="s">
        <v>53</v>
      </c>
      <c r="V2" t="s">
        <v>53</v>
      </c>
      <c r="W2" t="s">
        <v>53</v>
      </c>
      <c r="Y2" cm="1">
        <f t="array" ref="Y2">SUM(IF(C2:X2="X", 1, 0))</f>
        <v>15</v>
      </c>
    </row>
    <row r="3" spans="1:25" x14ac:dyDescent="0.2">
      <c r="A3" t="s">
        <v>5</v>
      </c>
      <c r="B3" t="s">
        <v>114</v>
      </c>
      <c r="C3" t="s">
        <v>53</v>
      </c>
      <c r="D3" t="s">
        <v>53</v>
      </c>
      <c r="L3" t="s">
        <v>53</v>
      </c>
      <c r="M3" t="s">
        <v>53</v>
      </c>
      <c r="N3" t="s">
        <v>53</v>
      </c>
      <c r="O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X3" t="s">
        <v>53</v>
      </c>
      <c r="Y3" cm="1">
        <f t="array" ref="Y3">SUM(IF(C3:X3="X", 1, 0))</f>
        <v>13</v>
      </c>
    </row>
    <row r="4" spans="1:25" x14ac:dyDescent="0.2">
      <c r="A4" s="8" t="s">
        <v>6</v>
      </c>
      <c r="B4" t="s">
        <v>114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T4" t="s">
        <v>53</v>
      </c>
      <c r="U4" t="s">
        <v>53</v>
      </c>
      <c r="V4" t="s">
        <v>53</v>
      </c>
      <c r="X4" t="s">
        <v>53</v>
      </c>
      <c r="Y4" cm="1">
        <f t="array" ref="Y4">SUM(IF(C4:X4="X", 1, 0))</f>
        <v>19</v>
      </c>
    </row>
    <row r="5" spans="1:25" x14ac:dyDescent="0.2">
      <c r="A5" t="s">
        <v>7</v>
      </c>
      <c r="B5" t="s">
        <v>114</v>
      </c>
      <c r="D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L5" t="s">
        <v>43</v>
      </c>
      <c r="Q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cm="1">
        <f t="array" ref="Y5">SUM(IF(C5:X5="X", 1, 0))</f>
        <v>12</v>
      </c>
    </row>
    <row r="6" spans="1:25" x14ac:dyDescent="0.2">
      <c r="A6" t="s">
        <v>8</v>
      </c>
      <c r="B6" t="s">
        <v>114</v>
      </c>
      <c r="D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O6" t="s">
        <v>53</v>
      </c>
      <c r="Q6" t="s">
        <v>53</v>
      </c>
      <c r="R6" t="s">
        <v>53</v>
      </c>
      <c r="S6" t="s">
        <v>53</v>
      </c>
      <c r="T6" t="s">
        <v>53</v>
      </c>
      <c r="V6" t="s">
        <v>53</v>
      </c>
      <c r="X6" t="s">
        <v>53</v>
      </c>
      <c r="Y6" cm="1">
        <f t="array" ref="Y6">SUM(IF(C6:X6="X", 1, 0))</f>
        <v>16</v>
      </c>
    </row>
    <row r="7" spans="1:25" x14ac:dyDescent="0.2">
      <c r="A7" t="s">
        <v>9</v>
      </c>
      <c r="B7" t="s">
        <v>114</v>
      </c>
      <c r="C7" t="s">
        <v>53</v>
      </c>
      <c r="D7" t="s">
        <v>53</v>
      </c>
      <c r="E7" t="s">
        <v>53</v>
      </c>
      <c r="J7" t="s">
        <v>53</v>
      </c>
      <c r="K7" t="s">
        <v>53</v>
      </c>
      <c r="L7" t="s">
        <v>53</v>
      </c>
      <c r="N7" t="s">
        <v>53</v>
      </c>
      <c r="O7" t="s">
        <v>53</v>
      </c>
      <c r="P7" t="s">
        <v>43</v>
      </c>
      <c r="Q7" t="s">
        <v>53</v>
      </c>
      <c r="R7" t="s">
        <v>43</v>
      </c>
      <c r="S7" t="s">
        <v>53</v>
      </c>
      <c r="V7" t="s">
        <v>53</v>
      </c>
      <c r="X7" t="s">
        <v>53</v>
      </c>
      <c r="Y7" cm="1">
        <f t="array" ref="Y7">SUM(IF(C7:X7="X", 1, 0))</f>
        <v>12</v>
      </c>
    </row>
    <row r="8" spans="1:25" x14ac:dyDescent="0.2">
      <c r="A8" s="8" t="s">
        <v>10</v>
      </c>
      <c r="B8" t="s">
        <v>114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J8" t="s">
        <v>53</v>
      </c>
      <c r="K8" t="s">
        <v>53</v>
      </c>
      <c r="L8" t="s">
        <v>43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T8" t="s">
        <v>53</v>
      </c>
      <c r="W8" t="s">
        <v>53</v>
      </c>
      <c r="X8" t="s">
        <v>53</v>
      </c>
      <c r="Y8" cm="1">
        <f t="array" ref="Y8">SUM(IF(C8:X8="X", 1, 0))</f>
        <v>17</v>
      </c>
    </row>
    <row r="9" spans="1:25" x14ac:dyDescent="0.2">
      <c r="A9" s="9" t="s">
        <v>54</v>
      </c>
      <c r="B9" t="s">
        <v>114</v>
      </c>
      <c r="C9" t="s">
        <v>53</v>
      </c>
      <c r="D9" t="s">
        <v>53</v>
      </c>
      <c r="E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43</v>
      </c>
      <c r="M9" t="s">
        <v>53</v>
      </c>
      <c r="N9" t="s">
        <v>53</v>
      </c>
      <c r="O9" t="s">
        <v>53</v>
      </c>
      <c r="P9" t="s">
        <v>43</v>
      </c>
      <c r="Q9" t="s">
        <v>53</v>
      </c>
      <c r="R9" t="s">
        <v>53</v>
      </c>
      <c r="T9" t="s">
        <v>53</v>
      </c>
      <c r="U9" t="s">
        <v>53</v>
      </c>
      <c r="V9" t="s">
        <v>53</v>
      </c>
      <c r="X9" t="s">
        <v>43</v>
      </c>
      <c r="Y9" cm="1">
        <f t="array" ref="Y9">SUM(IF(C9:X9="X", 1, 0))</f>
        <v>16</v>
      </c>
    </row>
    <row r="10" spans="1:25" x14ac:dyDescent="0.2">
      <c r="A10" t="s">
        <v>11</v>
      </c>
      <c r="B10" t="s">
        <v>114</v>
      </c>
      <c r="C10" t="s">
        <v>53</v>
      </c>
      <c r="D10" t="s">
        <v>53</v>
      </c>
      <c r="E10" t="s">
        <v>53</v>
      </c>
      <c r="G10" t="s">
        <v>53</v>
      </c>
      <c r="H10" t="s">
        <v>53</v>
      </c>
      <c r="J10" t="s">
        <v>53</v>
      </c>
      <c r="N10" t="s">
        <v>53</v>
      </c>
      <c r="O10" t="s">
        <v>53</v>
      </c>
      <c r="P10" t="s">
        <v>43</v>
      </c>
      <c r="Q10" t="s">
        <v>53</v>
      </c>
      <c r="R10" t="s">
        <v>53</v>
      </c>
      <c r="T10" t="s">
        <v>53</v>
      </c>
      <c r="U10" t="s">
        <v>53</v>
      </c>
      <c r="W10" t="s">
        <v>53</v>
      </c>
      <c r="X10" t="s">
        <v>53</v>
      </c>
      <c r="Y10" cm="1">
        <f t="array" ref="Y10">SUM(IF(C10:X10="X", 1, 0))</f>
        <v>14</v>
      </c>
    </row>
    <row r="11" spans="1:25" x14ac:dyDescent="0.2">
      <c r="A11" s="9" t="s">
        <v>12</v>
      </c>
      <c r="B11" t="s">
        <v>114</v>
      </c>
      <c r="C11" t="s">
        <v>53</v>
      </c>
      <c r="D11" t="s">
        <v>53</v>
      </c>
      <c r="E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N11" t="s">
        <v>53</v>
      </c>
      <c r="O11" t="s">
        <v>53</v>
      </c>
      <c r="P11" t="s">
        <v>43</v>
      </c>
      <c r="Q11" t="s">
        <v>53</v>
      </c>
      <c r="R11" t="s">
        <v>53</v>
      </c>
      <c r="S11" t="s">
        <v>53</v>
      </c>
      <c r="T11" t="s">
        <v>53</v>
      </c>
      <c r="X11" t="s">
        <v>43</v>
      </c>
      <c r="Y11" cm="1">
        <f t="array" ref="Y11">SUM(IF(C11:X11="X", 1, 0))</f>
        <v>15</v>
      </c>
    </row>
    <row r="12" spans="1:25" x14ac:dyDescent="0.2">
      <c r="A12" s="9" t="s">
        <v>13</v>
      </c>
      <c r="B12" t="s">
        <v>114</v>
      </c>
      <c r="C12" t="s">
        <v>53</v>
      </c>
      <c r="D12" t="s">
        <v>53</v>
      </c>
      <c r="F12" t="s">
        <v>53</v>
      </c>
      <c r="G12" t="s">
        <v>43</v>
      </c>
      <c r="H12" t="s">
        <v>53</v>
      </c>
      <c r="I12" t="s">
        <v>53</v>
      </c>
      <c r="J12" t="s">
        <v>53</v>
      </c>
      <c r="K12" t="s">
        <v>53</v>
      </c>
      <c r="M12" t="s">
        <v>53</v>
      </c>
      <c r="N12" t="s">
        <v>53</v>
      </c>
      <c r="O12" t="s">
        <v>53</v>
      </c>
      <c r="P12" t="s">
        <v>43</v>
      </c>
      <c r="Q12" t="s">
        <v>53</v>
      </c>
      <c r="R12" t="s">
        <v>53</v>
      </c>
      <c r="T12" t="s">
        <v>53</v>
      </c>
      <c r="W12" t="s">
        <v>43</v>
      </c>
      <c r="X12" t="s">
        <v>43</v>
      </c>
      <c r="Y12" cm="1">
        <f t="array" ref="Y12">SUM(IF(C12:X12="X", 1, 0))</f>
        <v>13</v>
      </c>
    </row>
    <row r="13" spans="1:25" x14ac:dyDescent="0.2">
      <c r="A13" t="s">
        <v>57</v>
      </c>
      <c r="B13" t="s">
        <v>114</v>
      </c>
      <c r="C13" t="s">
        <v>53</v>
      </c>
      <c r="D13" t="s">
        <v>53</v>
      </c>
      <c r="G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43</v>
      </c>
      <c r="Q13" t="s">
        <v>53</v>
      </c>
      <c r="R13" t="s">
        <v>53</v>
      </c>
      <c r="S13" t="s">
        <v>53</v>
      </c>
      <c r="V13" t="s">
        <v>53</v>
      </c>
      <c r="X13" t="s">
        <v>43</v>
      </c>
      <c r="Y13" cm="1">
        <f t="array" ref="Y13">SUM(IF(C13:X13="X", 1, 0))</f>
        <v>13</v>
      </c>
    </row>
    <row r="14" spans="1:25" x14ac:dyDescent="0.2">
      <c r="A14" t="s">
        <v>14</v>
      </c>
      <c r="B14" t="s">
        <v>114</v>
      </c>
      <c r="C14" t="s">
        <v>53</v>
      </c>
      <c r="D14" t="s">
        <v>53</v>
      </c>
      <c r="G14" t="s">
        <v>53</v>
      </c>
      <c r="H14" t="s">
        <v>53</v>
      </c>
      <c r="K14" t="s">
        <v>53</v>
      </c>
      <c r="L14" t="s">
        <v>43</v>
      </c>
      <c r="M14" t="s">
        <v>53</v>
      </c>
      <c r="N14" t="s">
        <v>53</v>
      </c>
      <c r="O14" t="s">
        <v>53</v>
      </c>
      <c r="Q14" t="s">
        <v>53</v>
      </c>
      <c r="R14" t="s">
        <v>53</v>
      </c>
      <c r="T14" t="s">
        <v>53</v>
      </c>
      <c r="U14" t="s">
        <v>53</v>
      </c>
      <c r="V14" t="s">
        <v>53</v>
      </c>
      <c r="X14" t="s">
        <v>43</v>
      </c>
      <c r="Y14" cm="1">
        <f t="array" ref="Y14">SUM(IF(C14:X14="X", 1, 0))</f>
        <v>13</v>
      </c>
    </row>
    <row r="15" spans="1:25" x14ac:dyDescent="0.2">
      <c r="A15" s="9" t="s">
        <v>15</v>
      </c>
      <c r="B15" t="s">
        <v>114</v>
      </c>
      <c r="C15" t="s">
        <v>53</v>
      </c>
      <c r="D15" t="s">
        <v>53</v>
      </c>
      <c r="E15" t="s">
        <v>53</v>
      </c>
      <c r="F15" t="s">
        <v>53</v>
      </c>
      <c r="H15" t="s">
        <v>53</v>
      </c>
      <c r="J15" t="s">
        <v>53</v>
      </c>
      <c r="K15" t="s">
        <v>53</v>
      </c>
      <c r="L15" t="s">
        <v>43</v>
      </c>
      <c r="M15" t="s">
        <v>53</v>
      </c>
      <c r="N15" t="s">
        <v>53</v>
      </c>
      <c r="O15" t="s">
        <v>53</v>
      </c>
      <c r="Q15" t="s">
        <v>53</v>
      </c>
      <c r="R15" t="s">
        <v>53</v>
      </c>
      <c r="S15" t="s">
        <v>43</v>
      </c>
      <c r="T15" t="s">
        <v>53</v>
      </c>
      <c r="V15" t="s">
        <v>53</v>
      </c>
      <c r="X15" t="s">
        <v>43</v>
      </c>
      <c r="Y15" cm="1">
        <f t="array" ref="Y15">SUM(IF(C15:X15="X", 1, 0))</f>
        <v>14</v>
      </c>
    </row>
    <row r="16" spans="1:25" x14ac:dyDescent="0.2">
      <c r="A16" t="s">
        <v>16</v>
      </c>
      <c r="B16" t="s">
        <v>114</v>
      </c>
      <c r="C16" t="s">
        <v>53</v>
      </c>
      <c r="D16" t="s">
        <v>53</v>
      </c>
      <c r="G16" t="s">
        <v>53</v>
      </c>
      <c r="J16" t="s">
        <v>53</v>
      </c>
      <c r="K16" t="s">
        <v>53</v>
      </c>
      <c r="L16" t="s">
        <v>43</v>
      </c>
      <c r="M16" t="s">
        <v>53</v>
      </c>
      <c r="N16" t="s">
        <v>53</v>
      </c>
      <c r="O16" t="s">
        <v>53</v>
      </c>
      <c r="P16" t="s">
        <v>43</v>
      </c>
      <c r="Q16" t="s">
        <v>53</v>
      </c>
      <c r="R16" t="s">
        <v>53</v>
      </c>
      <c r="T16" t="s">
        <v>53</v>
      </c>
      <c r="X16" t="s">
        <v>53</v>
      </c>
      <c r="Y16" cm="1">
        <f t="array" ref="Y16">SUM(IF(C16:X16="X", 1, 0))</f>
        <v>12</v>
      </c>
    </row>
    <row r="17" spans="1:25" x14ac:dyDescent="0.2">
      <c r="A17" t="s">
        <v>17</v>
      </c>
      <c r="B17" t="s">
        <v>114</v>
      </c>
      <c r="D17" t="s">
        <v>53</v>
      </c>
      <c r="H17" t="s">
        <v>53</v>
      </c>
      <c r="J17" t="s">
        <v>53</v>
      </c>
      <c r="K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T17" t="s">
        <v>53</v>
      </c>
      <c r="V17" t="s">
        <v>53</v>
      </c>
      <c r="Y17" cm="1">
        <f t="array" ref="Y17">SUM(IF(C17:X17="X", 1, 0))</f>
        <v>12</v>
      </c>
    </row>
    <row r="18" spans="1:25" x14ac:dyDescent="0.2">
      <c r="A18" t="s">
        <v>18</v>
      </c>
      <c r="B18" t="s">
        <v>114</v>
      </c>
      <c r="C18" t="s">
        <v>53</v>
      </c>
      <c r="D18" t="s">
        <v>53</v>
      </c>
      <c r="H18" t="s">
        <v>53</v>
      </c>
      <c r="I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43</v>
      </c>
      <c r="Q18" t="s">
        <v>53</v>
      </c>
      <c r="R18" t="s">
        <v>53</v>
      </c>
      <c r="T18" t="s">
        <v>53</v>
      </c>
      <c r="W18" t="s">
        <v>53</v>
      </c>
      <c r="X18" t="s">
        <v>53</v>
      </c>
      <c r="Y18" cm="1">
        <f t="array" ref="Y18">SUM(IF(C18:X18="X", 1, 0))</f>
        <v>14</v>
      </c>
    </row>
    <row r="19" spans="1:25" x14ac:dyDescent="0.2">
      <c r="A19" s="9" t="s">
        <v>19</v>
      </c>
      <c r="B19" t="s">
        <v>114</v>
      </c>
      <c r="C19" t="s">
        <v>53</v>
      </c>
      <c r="D19" t="s">
        <v>53</v>
      </c>
      <c r="E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43</v>
      </c>
      <c r="M19" t="s">
        <v>53</v>
      </c>
      <c r="N19" t="s">
        <v>53</v>
      </c>
      <c r="O19" t="s">
        <v>53</v>
      </c>
      <c r="P19" t="s">
        <v>43</v>
      </c>
      <c r="R19" t="s">
        <v>53</v>
      </c>
      <c r="S19" t="s">
        <v>43</v>
      </c>
      <c r="V19" t="s">
        <v>53</v>
      </c>
      <c r="X19" t="s">
        <v>43</v>
      </c>
      <c r="Y19" cm="1">
        <f t="array" ref="Y19">SUM(IF(C19:X19="X", 1, 0))</f>
        <v>13</v>
      </c>
    </row>
    <row r="20" spans="1:25" x14ac:dyDescent="0.2">
      <c r="A20" s="9" t="s">
        <v>20</v>
      </c>
      <c r="B20" t="s">
        <v>114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K20" t="s">
        <v>53</v>
      </c>
      <c r="L20" t="s">
        <v>43</v>
      </c>
      <c r="M20" t="s">
        <v>53</v>
      </c>
      <c r="N20" t="s">
        <v>53</v>
      </c>
      <c r="O20" t="s">
        <v>53</v>
      </c>
      <c r="P20" t="s">
        <v>43</v>
      </c>
      <c r="Q20" t="s">
        <v>53</v>
      </c>
      <c r="R20" t="s">
        <v>53</v>
      </c>
      <c r="S20" t="s">
        <v>53</v>
      </c>
      <c r="U20" t="s">
        <v>53</v>
      </c>
      <c r="X20" t="s">
        <v>43</v>
      </c>
      <c r="Y20" cm="1">
        <f t="array" ref="Y20">SUM(IF(C20:X20="X", 1, 0))</f>
        <v>15</v>
      </c>
    </row>
    <row r="21" spans="1:25" x14ac:dyDescent="0.2">
      <c r="A21" t="s">
        <v>21</v>
      </c>
      <c r="B21" t="s">
        <v>114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J21" t="s">
        <v>53</v>
      </c>
      <c r="N21" t="s">
        <v>53</v>
      </c>
      <c r="O21" t="s">
        <v>53</v>
      </c>
      <c r="P21" t="s">
        <v>43</v>
      </c>
      <c r="Q21" t="s">
        <v>53</v>
      </c>
      <c r="R21" t="s">
        <v>53</v>
      </c>
      <c r="S21" t="s">
        <v>53</v>
      </c>
      <c r="T21" t="s">
        <v>53</v>
      </c>
      <c r="V21" t="s">
        <v>53</v>
      </c>
      <c r="X21" t="s">
        <v>53</v>
      </c>
      <c r="Y21" cm="1">
        <f t="array" ref="Y21">SUM(IF(C21:X21="X", 1, 0))</f>
        <v>15</v>
      </c>
    </row>
    <row r="22" spans="1:25" x14ac:dyDescent="0.2">
      <c r="A22" t="s">
        <v>22</v>
      </c>
      <c r="B22" t="s">
        <v>114</v>
      </c>
      <c r="C22" t="s">
        <v>53</v>
      </c>
      <c r="D22" t="s">
        <v>53</v>
      </c>
      <c r="H22" t="s">
        <v>53</v>
      </c>
      <c r="I22" t="s">
        <v>53</v>
      </c>
      <c r="K22" t="s">
        <v>53</v>
      </c>
      <c r="L22" t="s">
        <v>43</v>
      </c>
      <c r="M22" t="s">
        <v>53</v>
      </c>
      <c r="N22" t="s">
        <v>53</v>
      </c>
      <c r="O22" t="s">
        <v>53</v>
      </c>
      <c r="Q22" t="s">
        <v>53</v>
      </c>
      <c r="R22" t="s">
        <v>53</v>
      </c>
      <c r="S22" t="s">
        <v>53</v>
      </c>
      <c r="T22" t="s">
        <v>53</v>
      </c>
      <c r="V22" t="s">
        <v>53</v>
      </c>
      <c r="W22" t="s">
        <v>53</v>
      </c>
      <c r="X22" t="s">
        <v>43</v>
      </c>
      <c r="Y22" cm="1">
        <f t="array" ref="Y22">SUM(IF(C22:X22="X", 1, 0))</f>
        <v>14</v>
      </c>
    </row>
    <row r="23" spans="1:25" x14ac:dyDescent="0.2">
      <c r="A23" t="s">
        <v>23</v>
      </c>
      <c r="B23" t="s">
        <v>114</v>
      </c>
      <c r="C23" t="s">
        <v>53</v>
      </c>
      <c r="D23" t="s">
        <v>53</v>
      </c>
      <c r="F23" t="s">
        <v>53</v>
      </c>
      <c r="G23" t="s">
        <v>43</v>
      </c>
      <c r="K23" t="s">
        <v>53</v>
      </c>
      <c r="M23" t="s">
        <v>53</v>
      </c>
      <c r="N23" t="s">
        <v>53</v>
      </c>
      <c r="O23" t="s">
        <v>53</v>
      </c>
      <c r="Q23" t="s">
        <v>53</v>
      </c>
      <c r="R23" t="s">
        <v>53</v>
      </c>
      <c r="S23" t="s">
        <v>53</v>
      </c>
      <c r="T23" t="s">
        <v>53</v>
      </c>
      <c r="V23" t="s">
        <v>53</v>
      </c>
      <c r="X23" t="s">
        <v>43</v>
      </c>
      <c r="Y23" cm="1">
        <f t="array" ref="Y23">SUM(IF(C23:X23="X", 1, 0))</f>
        <v>12</v>
      </c>
    </row>
    <row r="24" spans="1:25" x14ac:dyDescent="0.2">
      <c r="A24" s="9" t="s">
        <v>24</v>
      </c>
      <c r="B24" t="s">
        <v>114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J24" t="s">
        <v>53</v>
      </c>
      <c r="K24" t="s">
        <v>53</v>
      </c>
      <c r="L24" t="s">
        <v>53</v>
      </c>
      <c r="M24" t="s">
        <v>53</v>
      </c>
      <c r="O24" t="s">
        <v>53</v>
      </c>
      <c r="P24" t="s">
        <v>43</v>
      </c>
      <c r="Q24" t="s">
        <v>53</v>
      </c>
      <c r="R24" t="s">
        <v>53</v>
      </c>
      <c r="S24" t="s">
        <v>53</v>
      </c>
      <c r="T24" t="s">
        <v>53</v>
      </c>
      <c r="V24" t="s">
        <v>53</v>
      </c>
      <c r="X24" t="s">
        <v>43</v>
      </c>
      <c r="Y24" cm="1">
        <f t="array" ref="Y24">SUM(IF(C24:X24="X", 1, 0))</f>
        <v>16</v>
      </c>
    </row>
    <row r="25" spans="1:25" x14ac:dyDescent="0.2">
      <c r="A25" t="s">
        <v>25</v>
      </c>
      <c r="B25" t="s">
        <v>114</v>
      </c>
      <c r="C25" t="s">
        <v>53</v>
      </c>
      <c r="D25" t="s">
        <v>53</v>
      </c>
      <c r="E25" t="s">
        <v>53</v>
      </c>
      <c r="G25" t="s">
        <v>53</v>
      </c>
      <c r="H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43</v>
      </c>
      <c r="Q25" t="s">
        <v>53</v>
      </c>
      <c r="R25" t="s">
        <v>53</v>
      </c>
      <c r="S25" t="s">
        <v>53</v>
      </c>
      <c r="X25" t="s">
        <v>53</v>
      </c>
      <c r="Y25" cm="1">
        <f t="array" ref="Y25">SUM(IF(C25:X25="X", 1, 0))</f>
        <v>15</v>
      </c>
    </row>
    <row r="26" spans="1:25" x14ac:dyDescent="0.2">
      <c r="A26" t="s">
        <v>26</v>
      </c>
      <c r="B26" t="s">
        <v>114</v>
      </c>
      <c r="C26" t="s">
        <v>53</v>
      </c>
      <c r="D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Q26" t="s">
        <v>53</v>
      </c>
      <c r="R26" t="s">
        <v>53</v>
      </c>
      <c r="S26" t="s">
        <v>53</v>
      </c>
      <c r="T26" t="s">
        <v>53</v>
      </c>
      <c r="W26" t="s">
        <v>53</v>
      </c>
      <c r="X26" t="s">
        <v>43</v>
      </c>
      <c r="Y26" cm="1">
        <f t="array" ref="Y26">SUM(IF(C26:X26="X", 1, 0))</f>
        <v>15</v>
      </c>
    </row>
    <row r="27" spans="1:25" x14ac:dyDescent="0.2">
      <c r="A27" t="s">
        <v>27</v>
      </c>
      <c r="B27" t="s">
        <v>114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K27" t="s">
        <v>53</v>
      </c>
      <c r="L27" t="s">
        <v>53</v>
      </c>
      <c r="O27" t="s">
        <v>53</v>
      </c>
      <c r="P27" t="s">
        <v>43</v>
      </c>
      <c r="Q27" t="s">
        <v>53</v>
      </c>
      <c r="R27" t="s">
        <v>43</v>
      </c>
      <c r="S27" t="s">
        <v>53</v>
      </c>
      <c r="T27" t="s">
        <v>53</v>
      </c>
      <c r="X27" t="s">
        <v>53</v>
      </c>
      <c r="Y27" cm="1">
        <f t="array" ref="Y27">SUM(IF(C27:X27="X", 1, 0))</f>
        <v>12</v>
      </c>
    </row>
    <row r="28" spans="1:25" x14ac:dyDescent="0.2">
      <c r="A28" t="s">
        <v>28</v>
      </c>
      <c r="B28" t="s">
        <v>114</v>
      </c>
      <c r="C28" t="s">
        <v>53</v>
      </c>
      <c r="D28" t="s">
        <v>53</v>
      </c>
      <c r="E28" t="s">
        <v>53</v>
      </c>
      <c r="K28" t="s">
        <v>53</v>
      </c>
      <c r="L28" t="s">
        <v>53</v>
      </c>
      <c r="M28" t="s">
        <v>53</v>
      </c>
      <c r="O28" t="s">
        <v>53</v>
      </c>
      <c r="P28" t="s">
        <v>43</v>
      </c>
      <c r="Q28" t="s">
        <v>53</v>
      </c>
      <c r="R28" t="s">
        <v>53</v>
      </c>
      <c r="S28" t="s">
        <v>53</v>
      </c>
      <c r="V28" t="s">
        <v>53</v>
      </c>
      <c r="W28" t="s">
        <v>53</v>
      </c>
      <c r="Y28" cm="1">
        <f t="array" ref="Y28">SUM(IF(C28:X28="X", 1, 0))</f>
        <v>12</v>
      </c>
    </row>
    <row r="29" spans="1:25" x14ac:dyDescent="0.2">
      <c r="A29" s="8" t="s">
        <v>29</v>
      </c>
      <c r="B29" t="s">
        <v>114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43</v>
      </c>
      <c r="Q29" t="s">
        <v>53</v>
      </c>
      <c r="R29" t="s">
        <v>53</v>
      </c>
      <c r="S29" t="s">
        <v>53</v>
      </c>
      <c r="T29" t="s">
        <v>53</v>
      </c>
      <c r="V29" t="s">
        <v>53</v>
      </c>
      <c r="W29" t="s">
        <v>53</v>
      </c>
      <c r="X29" t="s">
        <v>43</v>
      </c>
      <c r="Y29" cm="1">
        <f t="array" ref="Y29">SUM(IF(C29:X29="X", 1, 0))</f>
        <v>19</v>
      </c>
    </row>
    <row r="30" spans="1:25" x14ac:dyDescent="0.2">
      <c r="A30" t="s">
        <v>30</v>
      </c>
      <c r="B30" t="s">
        <v>114</v>
      </c>
      <c r="C30" t="s">
        <v>53</v>
      </c>
      <c r="D30" t="s">
        <v>53</v>
      </c>
      <c r="G30" t="s">
        <v>53</v>
      </c>
      <c r="K30" t="s">
        <v>53</v>
      </c>
      <c r="L30" t="s">
        <v>43</v>
      </c>
      <c r="M30" t="s">
        <v>53</v>
      </c>
      <c r="N30" t="s">
        <v>53</v>
      </c>
      <c r="O30" t="s">
        <v>53</v>
      </c>
      <c r="P30" t="s">
        <v>43</v>
      </c>
      <c r="Q30" t="s">
        <v>53</v>
      </c>
      <c r="R30" t="s">
        <v>53</v>
      </c>
      <c r="T30" t="s">
        <v>53</v>
      </c>
      <c r="V30" t="s">
        <v>53</v>
      </c>
      <c r="W30" t="s">
        <v>53</v>
      </c>
      <c r="X30" t="s">
        <v>53</v>
      </c>
      <c r="Y30" cm="1">
        <f t="array" ref="Y30">SUM(IF(C30:X30="X", 1, 0))</f>
        <v>13</v>
      </c>
    </row>
    <row r="31" spans="1:25" x14ac:dyDescent="0.2">
      <c r="A31" t="s">
        <v>31</v>
      </c>
      <c r="B31" t="s">
        <v>114</v>
      </c>
      <c r="C31" t="s">
        <v>53</v>
      </c>
      <c r="D31" t="s">
        <v>53</v>
      </c>
      <c r="G31" t="s">
        <v>53</v>
      </c>
      <c r="K31" t="s">
        <v>53</v>
      </c>
      <c r="L31" t="s">
        <v>43</v>
      </c>
      <c r="M31" t="s">
        <v>53</v>
      </c>
      <c r="N31" t="s">
        <v>53</v>
      </c>
      <c r="O31" t="s">
        <v>53</v>
      </c>
      <c r="P31" t="s">
        <v>43</v>
      </c>
      <c r="Q31" t="s">
        <v>53</v>
      </c>
      <c r="R31" t="s">
        <v>53</v>
      </c>
      <c r="T31" t="s">
        <v>53</v>
      </c>
      <c r="W31" t="s">
        <v>53</v>
      </c>
      <c r="X31" t="s">
        <v>53</v>
      </c>
      <c r="Y31" cm="1">
        <f t="array" ref="Y31">SUM(IF(C31:X31="X", 1, 0))</f>
        <v>12</v>
      </c>
    </row>
    <row r="32" spans="1:25" x14ac:dyDescent="0.2">
      <c r="A32" t="s">
        <v>32</v>
      </c>
      <c r="B32" t="s">
        <v>114</v>
      </c>
      <c r="C32" t="s">
        <v>53</v>
      </c>
      <c r="D32" t="s">
        <v>53</v>
      </c>
      <c r="F32" t="s">
        <v>53</v>
      </c>
      <c r="J32" t="s">
        <v>53</v>
      </c>
      <c r="K32" t="s">
        <v>53</v>
      </c>
      <c r="L32" t="s">
        <v>43</v>
      </c>
      <c r="M32" t="s">
        <v>53</v>
      </c>
      <c r="O32" t="s">
        <v>53</v>
      </c>
      <c r="P32" t="s">
        <v>43</v>
      </c>
      <c r="Q32" t="s">
        <v>53</v>
      </c>
      <c r="R32" t="s">
        <v>53</v>
      </c>
      <c r="T32" t="s">
        <v>53</v>
      </c>
      <c r="W32" t="s">
        <v>53</v>
      </c>
      <c r="X32" t="s">
        <v>53</v>
      </c>
      <c r="Y32" cm="1">
        <f t="array" ref="Y32">SUM(IF(C32:X32="X", 1, 0))</f>
        <v>12</v>
      </c>
    </row>
    <row r="33" spans="1:25" x14ac:dyDescent="0.2">
      <c r="A33" t="s">
        <v>33</v>
      </c>
      <c r="B33" t="s">
        <v>114</v>
      </c>
      <c r="C33" t="s">
        <v>53</v>
      </c>
      <c r="D33" t="s">
        <v>53</v>
      </c>
      <c r="F33" t="s">
        <v>53</v>
      </c>
      <c r="I33" t="s">
        <v>53</v>
      </c>
      <c r="J33" t="s">
        <v>53</v>
      </c>
      <c r="L33" t="s">
        <v>43</v>
      </c>
      <c r="M33" t="s">
        <v>53</v>
      </c>
      <c r="N33" t="s">
        <v>53</v>
      </c>
      <c r="O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Y33" cm="1">
        <f t="array" ref="Y33">SUM(IF(C33:X33="X", 1, 0))</f>
        <v>15</v>
      </c>
    </row>
    <row r="34" spans="1:25" x14ac:dyDescent="0.2">
      <c r="A34" t="s">
        <v>34</v>
      </c>
      <c r="B34" t="s">
        <v>115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cm="1">
        <f t="array" ref="Y34">SUM(IF(C34:X34="X", 1, 0))</f>
        <v>21</v>
      </c>
    </row>
    <row r="35" spans="1:25" x14ac:dyDescent="0.2">
      <c r="A35" t="s">
        <v>35</v>
      </c>
      <c r="B35" t="s">
        <v>115</v>
      </c>
      <c r="C35" t="s">
        <v>53</v>
      </c>
      <c r="D35" t="s">
        <v>53</v>
      </c>
      <c r="F35" t="s">
        <v>53</v>
      </c>
      <c r="G35" t="s">
        <v>53</v>
      </c>
      <c r="H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cm="1">
        <f t="array" ref="Y35">SUM(IF(C35:X35="X", 1, 0))</f>
        <v>20</v>
      </c>
    </row>
    <row r="36" spans="1:25" x14ac:dyDescent="0.2">
      <c r="A36" t="s">
        <v>36</v>
      </c>
      <c r="B36" t="s">
        <v>115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L36" t="s">
        <v>53</v>
      </c>
      <c r="M36" t="s">
        <v>53</v>
      </c>
      <c r="N36" t="s">
        <v>53</v>
      </c>
      <c r="Q36" t="s">
        <v>53</v>
      </c>
      <c r="R36" t="s">
        <v>53</v>
      </c>
      <c r="S36" t="s">
        <v>53</v>
      </c>
      <c r="T36" t="s">
        <v>53</v>
      </c>
      <c r="V36" t="s">
        <v>53</v>
      </c>
      <c r="W36" t="s">
        <v>53</v>
      </c>
      <c r="X36" t="s">
        <v>53</v>
      </c>
      <c r="Y36" cm="1">
        <f t="array" ref="Y36">SUM(IF(C36:X36="X", 1, 0))</f>
        <v>18</v>
      </c>
    </row>
    <row r="37" spans="1:25" x14ac:dyDescent="0.2">
      <c r="A37" t="s">
        <v>37</v>
      </c>
      <c r="B37" t="s">
        <v>115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cm="1">
        <f t="array" ref="Y37">SUM(IF(C37:X37="X", 1, 0))</f>
        <v>17</v>
      </c>
    </row>
    <row r="38" spans="1:25" x14ac:dyDescent="0.2">
      <c r="A38" t="s">
        <v>38</v>
      </c>
      <c r="B38" t="s">
        <v>115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T38" t="s">
        <v>53</v>
      </c>
      <c r="V38" t="s">
        <v>53</v>
      </c>
      <c r="W38" t="s">
        <v>53</v>
      </c>
      <c r="X38" t="s">
        <v>53</v>
      </c>
      <c r="Y38" cm="1">
        <f t="array" ref="Y38">SUM(IF(C38:X38="X", 1, 0))</f>
        <v>18</v>
      </c>
    </row>
    <row r="39" spans="1:25" x14ac:dyDescent="0.2">
      <c r="A39" t="s">
        <v>39</v>
      </c>
      <c r="B39" t="s">
        <v>115</v>
      </c>
      <c r="C39" t="s">
        <v>53</v>
      </c>
      <c r="D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S39" t="s">
        <v>53</v>
      </c>
      <c r="T39" t="s">
        <v>53</v>
      </c>
      <c r="V39" t="s">
        <v>53</v>
      </c>
      <c r="W39" t="s">
        <v>53</v>
      </c>
      <c r="X39" t="s">
        <v>53</v>
      </c>
      <c r="Y39" cm="1">
        <f t="array" ref="Y39">SUM(IF(C39:X39="X", 1, 0))</f>
        <v>15</v>
      </c>
    </row>
    <row r="40" spans="1:25" x14ac:dyDescent="0.2">
      <c r="A40" t="s">
        <v>40</v>
      </c>
      <c r="B40" t="s">
        <v>115</v>
      </c>
      <c r="C40" t="s">
        <v>53</v>
      </c>
      <c r="D40" t="s">
        <v>53</v>
      </c>
      <c r="G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cm="1">
        <f t="array" ref="Y40">SUM(IF(C40:X40="X", 1, 0))</f>
        <v>16</v>
      </c>
    </row>
    <row r="41" spans="1:25" x14ac:dyDescent="0.2">
      <c r="A41" t="s">
        <v>41</v>
      </c>
      <c r="B41" t="s">
        <v>115</v>
      </c>
      <c r="C41" t="s">
        <v>53</v>
      </c>
      <c r="D41" t="s">
        <v>53</v>
      </c>
      <c r="G41" t="s">
        <v>53</v>
      </c>
      <c r="H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V41" t="s">
        <v>53</v>
      </c>
      <c r="X41" t="s">
        <v>53</v>
      </c>
      <c r="Y41" cm="1">
        <f t="array" ref="Y41">SUM(IF(C41:X41="X", 1, 0))</f>
        <v>13</v>
      </c>
    </row>
    <row r="42" spans="1:25" x14ac:dyDescent="0.2">
      <c r="A42" t="s">
        <v>42</v>
      </c>
      <c r="B42" t="s">
        <v>115</v>
      </c>
      <c r="C42" t="s">
        <v>53</v>
      </c>
      <c r="G42" t="s">
        <v>53</v>
      </c>
      <c r="H42" t="s">
        <v>53</v>
      </c>
      <c r="I42" t="s">
        <v>53</v>
      </c>
      <c r="J42" t="s">
        <v>53</v>
      </c>
      <c r="M42" t="s">
        <v>53</v>
      </c>
      <c r="O42" t="s">
        <v>53</v>
      </c>
      <c r="R42" t="s">
        <v>53</v>
      </c>
      <c r="S42" t="s">
        <v>53</v>
      </c>
      <c r="T42" t="s">
        <v>53</v>
      </c>
      <c r="W42" t="s">
        <v>53</v>
      </c>
      <c r="X42" t="s">
        <v>53</v>
      </c>
      <c r="Y42" cm="1">
        <f t="array" ref="Y42">SUM(IF(C42:X42="X", 1, 0))</f>
        <v>12</v>
      </c>
    </row>
    <row r="43" spans="1:25" x14ac:dyDescent="0.2">
      <c r="A43" t="s">
        <v>44</v>
      </c>
      <c r="B43" t="s">
        <v>115</v>
      </c>
      <c r="C43" t="s">
        <v>53</v>
      </c>
      <c r="E43" t="s">
        <v>53</v>
      </c>
      <c r="F43" t="s">
        <v>53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O43" t="s">
        <v>53</v>
      </c>
      <c r="P43" t="s">
        <v>53</v>
      </c>
      <c r="Q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cm="1">
        <f t="array" ref="Y43">SUM(IF(C43:X43="X", 1, 0))</f>
        <v>19</v>
      </c>
    </row>
    <row r="44" spans="1:25" x14ac:dyDescent="0.2">
      <c r="A44" t="s">
        <v>46</v>
      </c>
      <c r="B44" t="s">
        <v>115</v>
      </c>
      <c r="C44" t="s">
        <v>53</v>
      </c>
      <c r="E44" t="s">
        <v>53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U44" t="s">
        <v>53</v>
      </c>
      <c r="X44" t="s">
        <v>53</v>
      </c>
      <c r="Y44" cm="1">
        <f t="array" ref="Y44">SUM(IF(C44:X44="X", 1, 0))</f>
        <v>15</v>
      </c>
    </row>
    <row r="45" spans="1:25" x14ac:dyDescent="0.2">
      <c r="A45" t="s">
        <v>47</v>
      </c>
      <c r="B45" t="s">
        <v>115</v>
      </c>
      <c r="C45" t="s">
        <v>53</v>
      </c>
      <c r="D45" t="s">
        <v>53</v>
      </c>
      <c r="E45" t="s">
        <v>53</v>
      </c>
      <c r="F45" t="s">
        <v>53</v>
      </c>
      <c r="H45" t="s">
        <v>53</v>
      </c>
      <c r="I45" t="s">
        <v>53</v>
      </c>
      <c r="J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Y45" cm="1">
        <f t="array" ref="Y45">SUM(IF(C45:X45="X", 1, 0))</f>
        <v>12</v>
      </c>
    </row>
    <row r="46" spans="1:25" x14ac:dyDescent="0.2">
      <c r="A46" t="s">
        <v>48</v>
      </c>
      <c r="B46" t="s">
        <v>115</v>
      </c>
      <c r="C46" t="s">
        <v>53</v>
      </c>
      <c r="D46" t="s">
        <v>53</v>
      </c>
      <c r="E46" t="s">
        <v>53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cm="1">
        <f t="array" ref="Y46">SUM(IF(C46:X46="X", 1, 0))</f>
        <v>20</v>
      </c>
    </row>
    <row r="47" spans="1:25" x14ac:dyDescent="0.2">
      <c r="A47" t="s">
        <v>51</v>
      </c>
      <c r="B47" t="s">
        <v>115</v>
      </c>
      <c r="C47" t="s">
        <v>53</v>
      </c>
      <c r="D47" t="s">
        <v>53</v>
      </c>
      <c r="F47" t="s">
        <v>53</v>
      </c>
      <c r="G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V47" t="s">
        <v>53</v>
      </c>
      <c r="W47" t="s">
        <v>53</v>
      </c>
      <c r="X47" t="s">
        <v>53</v>
      </c>
      <c r="Y47" cm="1">
        <f t="array" ref="Y47">SUM(IF(C47:X47="X", 1, 0))</f>
        <v>19</v>
      </c>
    </row>
    <row r="48" spans="1:25" x14ac:dyDescent="0.2">
      <c r="A48" t="s">
        <v>52</v>
      </c>
      <c r="B48" t="s">
        <v>115</v>
      </c>
      <c r="C48" t="s">
        <v>53</v>
      </c>
      <c r="D48" t="s">
        <v>53</v>
      </c>
      <c r="H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T48" t="s">
        <v>53</v>
      </c>
      <c r="W48" t="s">
        <v>53</v>
      </c>
      <c r="X48" t="s">
        <v>53</v>
      </c>
      <c r="Y48" cm="1">
        <f t="array" ref="Y48">SUM(IF(C48:X48="X", 1, 0))</f>
        <v>14</v>
      </c>
    </row>
    <row r="49" spans="1:25" x14ac:dyDescent="0.2">
      <c r="A49" t="s">
        <v>61</v>
      </c>
      <c r="B49" t="s">
        <v>115</v>
      </c>
      <c r="C49" t="s">
        <v>53</v>
      </c>
      <c r="D49" t="s">
        <v>53</v>
      </c>
      <c r="F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Y49" cm="1">
        <f t="array" ref="Y49">SUM(IF(C49:X49="X", 1, 0))</f>
        <v>18</v>
      </c>
    </row>
    <row r="50" spans="1:25" x14ac:dyDescent="0.2">
      <c r="A50" t="s">
        <v>62</v>
      </c>
      <c r="B50" t="s">
        <v>115</v>
      </c>
      <c r="C50" t="s">
        <v>53</v>
      </c>
      <c r="D50" t="s">
        <v>53</v>
      </c>
      <c r="E50" t="s">
        <v>53</v>
      </c>
      <c r="F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Y50" cm="1">
        <f t="array" ref="Y50">SUM(IF(C50:X50="X", 1, 0))</f>
        <v>17</v>
      </c>
    </row>
    <row r="51" spans="1:25" x14ac:dyDescent="0.2">
      <c r="A51" t="s">
        <v>63</v>
      </c>
      <c r="B51" t="s">
        <v>115</v>
      </c>
      <c r="G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Q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cm="1">
        <f t="array" ref="Y51">SUM(IF(C51:X51="X", 1, 0))</f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1F39-91CB-B946-AAC1-A20D5E633622}">
  <dimension ref="A1:R25"/>
  <sheetViews>
    <sheetView workbookViewId="0">
      <selection activeCell="J23" sqref="J23"/>
    </sheetView>
  </sheetViews>
  <sheetFormatPr baseColWidth="10" defaultRowHeight="16" x14ac:dyDescent="0.2"/>
  <cols>
    <col min="1" max="1" width="13.83203125" bestFit="1" customWidth="1"/>
  </cols>
  <sheetData>
    <row r="1" spans="1:18" ht="19" x14ac:dyDescent="0.25">
      <c r="A1" s="3" t="s">
        <v>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</row>
    <row r="2" spans="1:18" x14ac:dyDescent="0.2">
      <c r="A2" t="s">
        <v>34</v>
      </c>
      <c r="B2" t="s">
        <v>53</v>
      </c>
      <c r="C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s="10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</row>
    <row r="3" spans="1:18" x14ac:dyDescent="0.2">
      <c r="A3" t="s">
        <v>35</v>
      </c>
      <c r="B3" t="s">
        <v>53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s="10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Q3" t="s">
        <v>53</v>
      </c>
      <c r="R3" t="s">
        <v>53</v>
      </c>
    </row>
    <row r="4" spans="1:18" x14ac:dyDescent="0.2">
      <c r="A4" t="s">
        <v>36</v>
      </c>
      <c r="B4" t="s">
        <v>53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s="10" t="s">
        <v>53</v>
      </c>
      <c r="K4" t="s">
        <v>53</v>
      </c>
      <c r="L4" t="s">
        <v>53</v>
      </c>
      <c r="N4" t="s">
        <v>53</v>
      </c>
      <c r="O4" t="s">
        <v>53</v>
      </c>
      <c r="P4" t="s">
        <v>53</v>
      </c>
      <c r="R4" t="s">
        <v>53</v>
      </c>
    </row>
    <row r="5" spans="1:18" x14ac:dyDescent="0.2">
      <c r="A5" t="s">
        <v>37</v>
      </c>
      <c r="B5" t="s">
        <v>53</v>
      </c>
      <c r="C5" t="s">
        <v>53</v>
      </c>
      <c r="D5" t="s">
        <v>53</v>
      </c>
      <c r="E5" t="s">
        <v>53</v>
      </c>
      <c r="F5" t="s">
        <v>53</v>
      </c>
      <c r="H5" t="s">
        <v>53</v>
      </c>
      <c r="J5" s="10" t="s">
        <v>53</v>
      </c>
      <c r="K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</row>
    <row r="6" spans="1:18" x14ac:dyDescent="0.2">
      <c r="A6" t="s">
        <v>38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s="10" t="s">
        <v>53</v>
      </c>
      <c r="K6" t="s">
        <v>53</v>
      </c>
      <c r="M6" t="s">
        <v>53</v>
      </c>
      <c r="N6" t="s">
        <v>53</v>
      </c>
      <c r="O6" t="s">
        <v>53</v>
      </c>
      <c r="P6" t="s">
        <v>53</v>
      </c>
      <c r="R6" t="s">
        <v>53</v>
      </c>
    </row>
    <row r="7" spans="1:18" x14ac:dyDescent="0.2">
      <c r="A7" t="s">
        <v>39</v>
      </c>
      <c r="B7" t="s">
        <v>53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s="10" t="s">
        <v>53</v>
      </c>
      <c r="K7" t="s">
        <v>53</v>
      </c>
      <c r="L7" t="s">
        <v>53</v>
      </c>
      <c r="N7" t="s">
        <v>53</v>
      </c>
      <c r="O7" t="s">
        <v>53</v>
      </c>
      <c r="P7" t="s">
        <v>53</v>
      </c>
      <c r="R7" t="s">
        <v>53</v>
      </c>
    </row>
    <row r="8" spans="1:18" x14ac:dyDescent="0.2">
      <c r="A8" t="s">
        <v>40</v>
      </c>
      <c r="B8" t="s">
        <v>53</v>
      </c>
      <c r="C8" t="s">
        <v>53</v>
      </c>
      <c r="D8" t="s">
        <v>53</v>
      </c>
      <c r="H8" t="s">
        <v>53</v>
      </c>
      <c r="I8" t="s">
        <v>53</v>
      </c>
      <c r="J8" s="10" t="s">
        <v>53</v>
      </c>
      <c r="K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</row>
    <row r="9" spans="1:18" x14ac:dyDescent="0.2">
      <c r="A9" t="s">
        <v>41</v>
      </c>
      <c r="B9" t="s">
        <v>53</v>
      </c>
      <c r="C9" t="s">
        <v>53</v>
      </c>
      <c r="D9" t="s">
        <v>53</v>
      </c>
      <c r="E9" t="s">
        <v>53</v>
      </c>
      <c r="F9" t="s">
        <v>53</v>
      </c>
      <c r="H9" t="s">
        <v>53</v>
      </c>
      <c r="I9" t="s">
        <v>53</v>
      </c>
      <c r="J9" s="10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R9" t="s">
        <v>53</v>
      </c>
    </row>
    <row r="10" spans="1:18" x14ac:dyDescent="0.2">
      <c r="A10" t="s">
        <v>107</v>
      </c>
      <c r="B10" t="s">
        <v>53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J10" s="10" t="s">
        <v>53</v>
      </c>
      <c r="K10" t="s">
        <v>53</v>
      </c>
      <c r="M10" t="s">
        <v>53</v>
      </c>
      <c r="N10" t="s">
        <v>53</v>
      </c>
      <c r="P10" t="s">
        <v>53</v>
      </c>
      <c r="Q10" t="s">
        <v>53</v>
      </c>
      <c r="R10" t="s">
        <v>53</v>
      </c>
    </row>
    <row r="11" spans="1:18" x14ac:dyDescent="0.2">
      <c r="A11" t="s">
        <v>44</v>
      </c>
      <c r="B11" t="s">
        <v>53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s="10" t="s">
        <v>53</v>
      </c>
      <c r="K11" t="s">
        <v>53</v>
      </c>
      <c r="L11" t="s">
        <v>53</v>
      </c>
      <c r="M11" t="s">
        <v>53</v>
      </c>
      <c r="O11" t="s">
        <v>53</v>
      </c>
      <c r="P11" t="s">
        <v>53</v>
      </c>
      <c r="Q11" t="s">
        <v>53</v>
      </c>
      <c r="R11" t="s">
        <v>53</v>
      </c>
    </row>
    <row r="12" spans="1:18" x14ac:dyDescent="0.2">
      <c r="A12" t="s">
        <v>46</v>
      </c>
      <c r="B12" t="s">
        <v>53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s="10" t="s">
        <v>53</v>
      </c>
      <c r="K12" t="s">
        <v>53</v>
      </c>
      <c r="L12" t="s">
        <v>53</v>
      </c>
      <c r="M12" t="s">
        <v>53</v>
      </c>
      <c r="N12" t="s">
        <v>53</v>
      </c>
      <c r="P12" t="s">
        <v>53</v>
      </c>
      <c r="Q12" t="s">
        <v>53</v>
      </c>
      <c r="R12" t="s">
        <v>53</v>
      </c>
    </row>
    <row r="13" spans="1:18" x14ac:dyDescent="0.2">
      <c r="A13" t="s">
        <v>48</v>
      </c>
      <c r="B13" t="s">
        <v>53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s="10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</row>
    <row r="14" spans="1:18" x14ac:dyDescent="0.2">
      <c r="A14" t="s">
        <v>51</v>
      </c>
      <c r="B14" t="s">
        <v>53</v>
      </c>
      <c r="C14" t="s">
        <v>53</v>
      </c>
      <c r="D14" t="s">
        <v>53</v>
      </c>
      <c r="G14" t="s">
        <v>53</v>
      </c>
      <c r="H14" t="s">
        <v>53</v>
      </c>
      <c r="I14" t="s">
        <v>53</v>
      </c>
      <c r="J14" s="10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R14" t="s">
        <v>53</v>
      </c>
    </row>
    <row r="15" spans="1:18" x14ac:dyDescent="0.2">
      <c r="A15" t="s">
        <v>52</v>
      </c>
      <c r="B15" t="s">
        <v>53</v>
      </c>
      <c r="H15" t="s">
        <v>53</v>
      </c>
      <c r="I15" t="s">
        <v>53</v>
      </c>
      <c r="J15" s="10" t="s">
        <v>53</v>
      </c>
      <c r="K15" t="s">
        <v>53</v>
      </c>
      <c r="L15" t="s">
        <v>53</v>
      </c>
      <c r="M15" t="s">
        <v>53</v>
      </c>
      <c r="N15" t="s">
        <v>53</v>
      </c>
      <c r="P15" t="s">
        <v>53</v>
      </c>
      <c r="R15" t="s">
        <v>53</v>
      </c>
    </row>
    <row r="16" spans="1:18" x14ac:dyDescent="0.2">
      <c r="A16" t="s">
        <v>61</v>
      </c>
      <c r="B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s="10" t="s">
        <v>53</v>
      </c>
      <c r="K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</row>
    <row r="17" spans="1:18" x14ac:dyDescent="0.2">
      <c r="A17" t="s">
        <v>108</v>
      </c>
      <c r="B17" t="s">
        <v>53</v>
      </c>
      <c r="D17" t="s">
        <v>53</v>
      </c>
      <c r="G17" t="s">
        <v>53</v>
      </c>
      <c r="H17" t="s">
        <v>53</v>
      </c>
      <c r="I17" t="s">
        <v>53</v>
      </c>
      <c r="J17" s="10" t="s">
        <v>53</v>
      </c>
      <c r="K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</row>
    <row r="18" spans="1:18" x14ac:dyDescent="0.2">
      <c r="A18" t="s">
        <v>45</v>
      </c>
      <c r="B18" t="s">
        <v>53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s="10" t="s">
        <v>53</v>
      </c>
      <c r="K18" t="s">
        <v>53</v>
      </c>
      <c r="M18" t="s">
        <v>53</v>
      </c>
    </row>
    <row r="19" spans="1:18" x14ac:dyDescent="0.2">
      <c r="A19" t="s">
        <v>106</v>
      </c>
      <c r="B19" s="20" t="s">
        <v>53</v>
      </c>
      <c r="C19" s="20" t="s">
        <v>53</v>
      </c>
      <c r="D19" s="20" t="s">
        <v>53</v>
      </c>
      <c r="E19" s="20" t="s">
        <v>53</v>
      </c>
      <c r="F19" s="20" t="s">
        <v>53</v>
      </c>
      <c r="G19" s="20" t="s">
        <v>53</v>
      </c>
      <c r="H19" s="20" t="s">
        <v>53</v>
      </c>
      <c r="I19" s="20" t="s">
        <v>53</v>
      </c>
      <c r="J19" s="21" t="s">
        <v>53</v>
      </c>
      <c r="K19" s="20" t="s">
        <v>53</v>
      </c>
      <c r="L19" s="20" t="s">
        <v>53</v>
      </c>
      <c r="M19" s="20" t="s">
        <v>53</v>
      </c>
      <c r="N19" s="20" t="s">
        <v>53</v>
      </c>
      <c r="O19" s="20" t="s">
        <v>53</v>
      </c>
      <c r="P19" s="20"/>
      <c r="Q19" s="20"/>
      <c r="R19" s="20" t="s">
        <v>53</v>
      </c>
    </row>
    <row r="20" spans="1:18" x14ac:dyDescent="0.2">
      <c r="A20" t="s">
        <v>103</v>
      </c>
      <c r="B20" t="s">
        <v>53</v>
      </c>
      <c r="C20" t="s">
        <v>53</v>
      </c>
      <c r="D20" t="s">
        <v>53</v>
      </c>
      <c r="G20" t="s">
        <v>53</v>
      </c>
      <c r="H20" t="s">
        <v>53</v>
      </c>
      <c r="I20" t="s">
        <v>53</v>
      </c>
      <c r="J20" s="10" t="s">
        <v>53</v>
      </c>
      <c r="K20" t="s">
        <v>53</v>
      </c>
      <c r="M20" t="s">
        <v>53</v>
      </c>
      <c r="N20" t="s">
        <v>53</v>
      </c>
      <c r="P20" t="s">
        <v>53</v>
      </c>
      <c r="R20" t="s">
        <v>53</v>
      </c>
    </row>
    <row r="21" spans="1:18" x14ac:dyDescent="0.2">
      <c r="A21" t="s">
        <v>104</v>
      </c>
      <c r="B21" t="s">
        <v>53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s="10" t="s">
        <v>53</v>
      </c>
      <c r="K21" t="s">
        <v>53</v>
      </c>
      <c r="L21" t="s">
        <v>53</v>
      </c>
      <c r="M21" t="s">
        <v>53</v>
      </c>
      <c r="O21" t="s">
        <v>53</v>
      </c>
      <c r="P21" t="s">
        <v>53</v>
      </c>
      <c r="Q21" t="s">
        <v>53</v>
      </c>
      <c r="R21" t="s">
        <v>53</v>
      </c>
    </row>
    <row r="22" spans="1:18" x14ac:dyDescent="0.2">
      <c r="A22" t="s">
        <v>109</v>
      </c>
      <c r="C22" t="s">
        <v>53</v>
      </c>
      <c r="D22" t="s">
        <v>53</v>
      </c>
      <c r="H22" t="s">
        <v>53</v>
      </c>
      <c r="I22" t="s">
        <v>53</v>
      </c>
      <c r="J22" s="10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</row>
    <row r="23" spans="1:18" x14ac:dyDescent="0.2">
      <c r="A23" t="s">
        <v>110</v>
      </c>
      <c r="B23" t="s">
        <v>53</v>
      </c>
      <c r="C23" t="s">
        <v>53</v>
      </c>
      <c r="D23" t="s">
        <v>53</v>
      </c>
      <c r="E23" t="s">
        <v>53</v>
      </c>
      <c r="F23" t="s">
        <v>53</v>
      </c>
      <c r="H23" t="s">
        <v>53</v>
      </c>
      <c r="J23" s="10" t="s">
        <v>53</v>
      </c>
      <c r="K23" t="s">
        <v>53</v>
      </c>
      <c r="L23" t="s">
        <v>53</v>
      </c>
      <c r="M23" t="s">
        <v>53</v>
      </c>
      <c r="N23" t="s">
        <v>53</v>
      </c>
      <c r="P23" t="s">
        <v>53</v>
      </c>
      <c r="R23" t="s">
        <v>53</v>
      </c>
    </row>
    <row r="24" spans="1:18" x14ac:dyDescent="0.2">
      <c r="A24" t="s">
        <v>116</v>
      </c>
      <c r="B24" s="20" t="s">
        <v>53</v>
      </c>
      <c r="C24" s="20" t="s">
        <v>53</v>
      </c>
      <c r="D24" s="20" t="s">
        <v>53</v>
      </c>
      <c r="E24" s="20"/>
      <c r="F24" s="20"/>
      <c r="G24" s="20" t="s">
        <v>53</v>
      </c>
      <c r="H24" s="20" t="s">
        <v>53</v>
      </c>
      <c r="I24" s="20" t="s">
        <v>53</v>
      </c>
      <c r="J24" s="21" t="s">
        <v>53</v>
      </c>
      <c r="K24" s="20" t="s">
        <v>53</v>
      </c>
      <c r="L24" s="20" t="s">
        <v>53</v>
      </c>
      <c r="M24" s="20" t="s">
        <v>53</v>
      </c>
      <c r="N24" s="20" t="s">
        <v>53</v>
      </c>
      <c r="O24" s="20"/>
      <c r="P24" s="20" t="s">
        <v>53</v>
      </c>
      <c r="Q24" s="20"/>
      <c r="R24" s="20" t="s">
        <v>53</v>
      </c>
    </row>
    <row r="25" spans="1:18" x14ac:dyDescent="0.2">
      <c r="A25" t="s">
        <v>58</v>
      </c>
      <c r="B25" t="s">
        <v>53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s="10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1D86-EA32-384F-B1C1-90C14CDF882B}">
  <dimension ref="A1:S37"/>
  <sheetViews>
    <sheetView workbookViewId="0">
      <selection sqref="A1:R37"/>
    </sheetView>
  </sheetViews>
  <sheetFormatPr baseColWidth="10" defaultRowHeight="16" x14ac:dyDescent="0.2"/>
  <cols>
    <col min="1" max="1" width="17.83203125" customWidth="1"/>
  </cols>
  <sheetData>
    <row r="1" spans="1:19" ht="19" x14ac:dyDescent="0.25">
      <c r="A1" s="3" t="s">
        <v>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10" t="s">
        <v>120</v>
      </c>
    </row>
    <row r="2" spans="1:19" x14ac:dyDescent="0.2">
      <c r="A2" t="s">
        <v>34</v>
      </c>
      <c r="B2" t="s">
        <v>53</v>
      </c>
      <c r="C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s="10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cm="1">
        <f t="array" ref="S2">SUM(IF("X"=B2:R2,1,0))</f>
        <v>16</v>
      </c>
    </row>
    <row r="3" spans="1:19" x14ac:dyDescent="0.2">
      <c r="A3" t="s">
        <v>35</v>
      </c>
      <c r="B3" t="s">
        <v>53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s="10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Q3" t="s">
        <v>53</v>
      </c>
      <c r="R3" t="s">
        <v>53</v>
      </c>
      <c r="S3" cm="1">
        <f t="array" ref="S3">SUM(IF("X"=B3:R3,1,0))</f>
        <v>16</v>
      </c>
    </row>
    <row r="4" spans="1:19" x14ac:dyDescent="0.2">
      <c r="A4" t="s">
        <v>36</v>
      </c>
      <c r="B4" t="s">
        <v>53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s="10" t="s">
        <v>53</v>
      </c>
      <c r="K4" t="s">
        <v>53</v>
      </c>
      <c r="L4" t="s">
        <v>53</v>
      </c>
      <c r="N4" t="s">
        <v>53</v>
      </c>
      <c r="O4" t="s">
        <v>53</v>
      </c>
      <c r="P4" t="s">
        <v>53</v>
      </c>
      <c r="R4" t="s">
        <v>53</v>
      </c>
      <c r="S4" cm="1">
        <f t="array" ref="S4">SUM(IF("X"=B4:R4,1,0))</f>
        <v>15</v>
      </c>
    </row>
    <row r="5" spans="1:19" x14ac:dyDescent="0.2">
      <c r="A5" t="s">
        <v>37</v>
      </c>
      <c r="B5" t="s">
        <v>53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J5" s="10" t="s">
        <v>53</v>
      </c>
      <c r="K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cm="1">
        <f t="array" ref="S5">SUM(IF("X"=B5:R5,1,0))</f>
        <v>15</v>
      </c>
    </row>
    <row r="6" spans="1:19" x14ac:dyDescent="0.2">
      <c r="A6" t="s">
        <v>38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s="10" t="s">
        <v>53</v>
      </c>
      <c r="K6" t="s">
        <v>53</v>
      </c>
      <c r="M6" t="s">
        <v>53</v>
      </c>
      <c r="N6" t="s">
        <v>53</v>
      </c>
      <c r="O6" t="s">
        <v>53</v>
      </c>
      <c r="P6" t="s">
        <v>53</v>
      </c>
      <c r="R6" t="s">
        <v>53</v>
      </c>
      <c r="S6" cm="1">
        <f t="array" ref="S6">SUM(IF("X"=B6:R6,1,0))</f>
        <v>15</v>
      </c>
    </row>
    <row r="7" spans="1:19" x14ac:dyDescent="0.2">
      <c r="A7" t="s">
        <v>39</v>
      </c>
      <c r="B7" t="s">
        <v>53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s="10" t="s">
        <v>53</v>
      </c>
      <c r="K7" t="s">
        <v>53</v>
      </c>
      <c r="L7" t="s">
        <v>53</v>
      </c>
      <c r="N7" t="s">
        <v>53</v>
      </c>
      <c r="O7" t="s">
        <v>53</v>
      </c>
      <c r="P7" t="s">
        <v>53</v>
      </c>
      <c r="R7" t="s">
        <v>53</v>
      </c>
      <c r="S7" cm="1">
        <f t="array" ref="S7">SUM(IF("X"=B7:R7,1,0))</f>
        <v>15</v>
      </c>
    </row>
    <row r="8" spans="1:19" x14ac:dyDescent="0.2">
      <c r="A8" t="s">
        <v>40</v>
      </c>
      <c r="B8" t="s">
        <v>53</v>
      </c>
      <c r="C8" t="s">
        <v>53</v>
      </c>
      <c r="D8" t="s">
        <v>53</v>
      </c>
      <c r="H8" t="s">
        <v>53</v>
      </c>
      <c r="I8" t="s">
        <v>53</v>
      </c>
      <c r="J8" s="10" t="s">
        <v>53</v>
      </c>
      <c r="K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cm="1">
        <f t="array" ref="S8">SUM(IF("X"=B8:R8,1,0))</f>
        <v>13</v>
      </c>
    </row>
    <row r="9" spans="1:19" x14ac:dyDescent="0.2">
      <c r="A9" t="s">
        <v>41</v>
      </c>
      <c r="B9" t="s">
        <v>53</v>
      </c>
      <c r="C9" t="s">
        <v>53</v>
      </c>
      <c r="D9" t="s">
        <v>53</v>
      </c>
      <c r="E9" t="s">
        <v>53</v>
      </c>
      <c r="F9" t="s">
        <v>53</v>
      </c>
      <c r="H9" t="s">
        <v>53</v>
      </c>
      <c r="I9" t="s">
        <v>53</v>
      </c>
      <c r="J9" s="10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R9" t="s">
        <v>53</v>
      </c>
      <c r="S9" cm="1">
        <f t="array" ref="S9">SUM(IF("X"=B9:R9,1,0))</f>
        <v>15</v>
      </c>
    </row>
    <row r="10" spans="1:19" x14ac:dyDescent="0.2">
      <c r="A10" t="s">
        <v>107</v>
      </c>
      <c r="B10" t="s">
        <v>53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J10" s="10" t="s">
        <v>53</v>
      </c>
      <c r="K10" t="s">
        <v>53</v>
      </c>
      <c r="M10" t="s">
        <v>53</v>
      </c>
      <c r="N10" t="s">
        <v>53</v>
      </c>
      <c r="P10" t="s">
        <v>53</v>
      </c>
      <c r="Q10" t="s">
        <v>53</v>
      </c>
      <c r="R10" t="s">
        <v>53</v>
      </c>
      <c r="S10" cm="1">
        <f t="array" ref="S10">SUM(IF("X"=B10:R10,1,0))</f>
        <v>14</v>
      </c>
    </row>
    <row r="11" spans="1:19" x14ac:dyDescent="0.2">
      <c r="A11" t="s">
        <v>44</v>
      </c>
      <c r="B11" t="s">
        <v>53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s="10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cm="1">
        <f t="array" ref="S11">SUM(IF("X"=B11:R11,1,0))</f>
        <v>17</v>
      </c>
    </row>
    <row r="12" spans="1:19" x14ac:dyDescent="0.2">
      <c r="A12" t="s">
        <v>46</v>
      </c>
      <c r="B12" t="s">
        <v>53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s="10" t="s">
        <v>53</v>
      </c>
      <c r="K12" t="s">
        <v>53</v>
      </c>
      <c r="L12" t="s">
        <v>53</v>
      </c>
      <c r="M12" t="s">
        <v>53</v>
      </c>
      <c r="N12" t="s">
        <v>53</v>
      </c>
      <c r="P12" t="s">
        <v>53</v>
      </c>
      <c r="Q12" t="s">
        <v>53</v>
      </c>
      <c r="R12" t="s">
        <v>53</v>
      </c>
      <c r="S12" cm="1">
        <f t="array" ref="S12">SUM(IF("X"=B12:R12,1,0))</f>
        <v>16</v>
      </c>
    </row>
    <row r="13" spans="1:19" x14ac:dyDescent="0.2">
      <c r="A13" t="s">
        <v>48</v>
      </c>
      <c r="B13" t="s">
        <v>53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s="10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S13" cm="1">
        <f t="array" ref="S13">SUM(IF("X"=B13:R13,1,0))</f>
        <v>16</v>
      </c>
    </row>
    <row r="14" spans="1:19" x14ac:dyDescent="0.2">
      <c r="A14" t="s">
        <v>51</v>
      </c>
      <c r="B14" t="s">
        <v>53</v>
      </c>
      <c r="C14" t="s">
        <v>53</v>
      </c>
      <c r="D14" t="s">
        <v>53</v>
      </c>
      <c r="G14" t="s">
        <v>53</v>
      </c>
      <c r="H14" t="s">
        <v>53</v>
      </c>
      <c r="I14" t="s">
        <v>53</v>
      </c>
      <c r="J14" s="10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R14" t="s">
        <v>53</v>
      </c>
      <c r="S14" cm="1">
        <f t="array" ref="S14">SUM(IF("X"=B14:R14,1,0))</f>
        <v>14</v>
      </c>
    </row>
    <row r="15" spans="1:19" x14ac:dyDescent="0.2">
      <c r="A15" t="s">
        <v>52</v>
      </c>
      <c r="B15" t="s">
        <v>53</v>
      </c>
      <c r="H15" t="s">
        <v>53</v>
      </c>
      <c r="I15" t="s">
        <v>53</v>
      </c>
      <c r="J15" s="10" t="s">
        <v>53</v>
      </c>
      <c r="K15" t="s">
        <v>53</v>
      </c>
      <c r="L15" t="s">
        <v>53</v>
      </c>
      <c r="M15" t="s">
        <v>53</v>
      </c>
      <c r="N15" t="s">
        <v>53</v>
      </c>
      <c r="P15" t="s">
        <v>53</v>
      </c>
      <c r="R15" t="s">
        <v>53</v>
      </c>
      <c r="S15" cm="1">
        <f t="array" ref="S15">SUM(IF("X"=B15:R15,1,0))</f>
        <v>10</v>
      </c>
    </row>
    <row r="16" spans="1:19" x14ac:dyDescent="0.2">
      <c r="A16" t="s">
        <v>61</v>
      </c>
      <c r="B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s="10" t="s">
        <v>53</v>
      </c>
      <c r="K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S16" cm="1">
        <f t="array" ref="S16">SUM(IF("X"=B16:R16,1,0))</f>
        <v>14</v>
      </c>
    </row>
    <row r="17" spans="1:19" x14ac:dyDescent="0.2">
      <c r="A17" t="s">
        <v>108</v>
      </c>
      <c r="B17" t="s">
        <v>53</v>
      </c>
      <c r="D17" t="s">
        <v>53</v>
      </c>
      <c r="G17" t="s">
        <v>53</v>
      </c>
      <c r="H17" t="s">
        <v>53</v>
      </c>
      <c r="I17" t="s">
        <v>53</v>
      </c>
      <c r="J17" s="10" t="s">
        <v>53</v>
      </c>
      <c r="K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S17" cm="1">
        <f t="array" ref="S17">SUM(IF("X"=B17:R17,1,0))</f>
        <v>12</v>
      </c>
    </row>
    <row r="18" spans="1:19" x14ac:dyDescent="0.2">
      <c r="A18" t="s">
        <v>45</v>
      </c>
      <c r="B18" t="s">
        <v>53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s="10" t="s">
        <v>53</v>
      </c>
      <c r="K18" t="s">
        <v>53</v>
      </c>
      <c r="M18" t="s">
        <v>53</v>
      </c>
      <c r="S18" cm="1">
        <f t="array" ref="S18">SUM(IF("X"=B18:R18,1,0))</f>
        <v>11</v>
      </c>
    </row>
    <row r="19" spans="1:19" x14ac:dyDescent="0.2">
      <c r="A19" t="s">
        <v>106</v>
      </c>
      <c r="B19" s="20" t="s">
        <v>53</v>
      </c>
      <c r="C19" s="20" t="s">
        <v>53</v>
      </c>
      <c r="D19" s="20" t="s">
        <v>53</v>
      </c>
      <c r="E19" s="20" t="s">
        <v>53</v>
      </c>
      <c r="F19" s="20" t="s">
        <v>53</v>
      </c>
      <c r="G19" s="20" t="s">
        <v>53</v>
      </c>
      <c r="H19" s="20" t="s">
        <v>53</v>
      </c>
      <c r="I19" s="20" t="s">
        <v>53</v>
      </c>
      <c r="J19" s="21" t="s">
        <v>53</v>
      </c>
      <c r="K19" s="20" t="s">
        <v>53</v>
      </c>
      <c r="L19" s="20" t="s">
        <v>53</v>
      </c>
      <c r="M19" s="20" t="s">
        <v>53</v>
      </c>
      <c r="N19" s="20" t="s">
        <v>53</v>
      </c>
      <c r="O19" s="20" t="s">
        <v>53</v>
      </c>
      <c r="P19" s="20"/>
      <c r="Q19" s="20"/>
      <c r="R19" s="20" t="s">
        <v>53</v>
      </c>
      <c r="S19" cm="1">
        <f t="array" ref="S19">SUM(IF("X"=B19:R19,1,0))</f>
        <v>15</v>
      </c>
    </row>
    <row r="20" spans="1:19" x14ac:dyDescent="0.2">
      <c r="A20" t="s">
        <v>103</v>
      </c>
      <c r="B20" t="s">
        <v>53</v>
      </c>
      <c r="C20" t="s">
        <v>53</v>
      </c>
      <c r="D20" t="s">
        <v>53</v>
      </c>
      <c r="G20" t="s">
        <v>53</v>
      </c>
      <c r="H20" t="s">
        <v>53</v>
      </c>
      <c r="I20" t="s">
        <v>53</v>
      </c>
      <c r="J20" s="10" t="s">
        <v>53</v>
      </c>
      <c r="K20" t="s">
        <v>53</v>
      </c>
      <c r="M20" t="s">
        <v>53</v>
      </c>
      <c r="N20" t="s">
        <v>53</v>
      </c>
      <c r="P20" t="s">
        <v>53</v>
      </c>
      <c r="R20" t="s">
        <v>53</v>
      </c>
      <c r="S20" cm="1">
        <f t="array" ref="S20">SUM(IF("X"=B20:R20,1,0))</f>
        <v>12</v>
      </c>
    </row>
    <row r="21" spans="1:19" x14ac:dyDescent="0.2">
      <c r="A21" t="s">
        <v>124</v>
      </c>
      <c r="C21" t="s">
        <v>53</v>
      </c>
      <c r="D21" t="s">
        <v>53</v>
      </c>
      <c r="H21" t="s">
        <v>53</v>
      </c>
      <c r="I21" t="s">
        <v>53</v>
      </c>
      <c r="J21" s="10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cm="1">
        <f t="array" ref="S21">SUM(IF("X"=B21:R21,1,0))</f>
        <v>13</v>
      </c>
    </row>
    <row r="22" spans="1:19" x14ac:dyDescent="0.2">
      <c r="A22" t="s">
        <v>116</v>
      </c>
      <c r="B22" s="20" t="s">
        <v>53</v>
      </c>
      <c r="C22" s="20" t="s">
        <v>53</v>
      </c>
      <c r="D22" s="20" t="s">
        <v>53</v>
      </c>
      <c r="E22" s="20"/>
      <c r="F22" s="20"/>
      <c r="G22" s="20" t="s">
        <v>53</v>
      </c>
      <c r="H22" s="20" t="s">
        <v>53</v>
      </c>
      <c r="I22" s="20" t="s">
        <v>53</v>
      </c>
      <c r="J22" s="21" t="s">
        <v>53</v>
      </c>
      <c r="K22" s="20" t="s">
        <v>53</v>
      </c>
      <c r="L22" s="20" t="s">
        <v>53</v>
      </c>
      <c r="M22" s="20" t="s">
        <v>53</v>
      </c>
      <c r="N22" s="20" t="s">
        <v>53</v>
      </c>
      <c r="O22" s="20"/>
      <c r="P22" s="20" t="s">
        <v>53</v>
      </c>
      <c r="Q22" s="20"/>
      <c r="R22" s="20" t="s">
        <v>53</v>
      </c>
      <c r="S22" cm="1">
        <f t="array" ref="S22">SUM(IF("X"=B22:R22,1,0))</f>
        <v>13</v>
      </c>
    </row>
    <row r="23" spans="1:19" x14ac:dyDescent="0.2">
      <c r="A23" t="s">
        <v>117</v>
      </c>
      <c r="B23" t="s">
        <v>53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s="10" t="s">
        <v>53</v>
      </c>
      <c r="K23" t="s">
        <v>53</v>
      </c>
      <c r="M23" t="s">
        <v>53</v>
      </c>
      <c r="P23" t="s">
        <v>53</v>
      </c>
      <c r="R23" t="s">
        <v>53</v>
      </c>
      <c r="S23" cm="1">
        <f t="array" ref="S23">SUM(IF("X"=B23:R23,1,0))</f>
        <v>13</v>
      </c>
    </row>
    <row r="24" spans="1:19" x14ac:dyDescent="0.2">
      <c r="A24" t="s">
        <v>118</v>
      </c>
      <c r="B24" t="s">
        <v>53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s="10" t="s">
        <v>53</v>
      </c>
      <c r="K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cm="1">
        <f t="array" ref="S24">SUM(IF("X"=B24:R24,1,0))</f>
        <v>16</v>
      </c>
    </row>
    <row r="25" spans="1:19" x14ac:dyDescent="0.2">
      <c r="A25" t="s">
        <v>121</v>
      </c>
      <c r="B25" t="s">
        <v>53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s="10" t="s">
        <v>53</v>
      </c>
      <c r="K25" t="s">
        <v>53</v>
      </c>
      <c r="N25" t="s">
        <v>53</v>
      </c>
      <c r="O25" t="s">
        <v>53</v>
      </c>
      <c r="P25" t="s">
        <v>53</v>
      </c>
      <c r="R25" t="s">
        <v>53</v>
      </c>
      <c r="S25" cm="1">
        <f t="array" ref="S25">SUM(IF("X"=B25:R25,1,0))</f>
        <v>14</v>
      </c>
    </row>
    <row r="26" spans="1:19" x14ac:dyDescent="0.2">
      <c r="A26" t="s">
        <v>119</v>
      </c>
      <c r="B26" t="s">
        <v>53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s="10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R26" t="s">
        <v>53</v>
      </c>
      <c r="S26" cm="1">
        <f t="array" ref="S26">SUM(IF("X"=B26:R26,1,0))</f>
        <v>16</v>
      </c>
    </row>
    <row r="27" spans="1:19" x14ac:dyDescent="0.2">
      <c r="A27" t="s">
        <v>122</v>
      </c>
      <c r="B27" t="s">
        <v>53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s="10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cm="1">
        <f t="array" ref="S27">SUM(IF("X"=B27:R27,1,0))</f>
        <v>17</v>
      </c>
    </row>
    <row r="28" spans="1:19" x14ac:dyDescent="0.2">
      <c r="A28" t="s">
        <v>123</v>
      </c>
      <c r="B28" t="s">
        <v>53</v>
      </c>
      <c r="C28" t="s">
        <v>53</v>
      </c>
      <c r="D28" t="s">
        <v>53</v>
      </c>
      <c r="G28" t="s">
        <v>53</v>
      </c>
      <c r="H28" t="s">
        <v>53</v>
      </c>
      <c r="I28" t="s">
        <v>53</v>
      </c>
      <c r="J28" s="10" t="s">
        <v>53</v>
      </c>
      <c r="K28" t="s">
        <v>53</v>
      </c>
      <c r="L28" t="s">
        <v>53</v>
      </c>
      <c r="M28" t="s">
        <v>53</v>
      </c>
      <c r="N28" t="s">
        <v>53</v>
      </c>
      <c r="P28" t="s">
        <v>53</v>
      </c>
      <c r="R28" t="s">
        <v>53</v>
      </c>
      <c r="S28" cm="1">
        <f t="array" ref="S28">SUM(IF("X"=B28:R28,1,0))</f>
        <v>13</v>
      </c>
    </row>
    <row r="29" spans="1:19" x14ac:dyDescent="0.2">
      <c r="A29" t="s">
        <v>125</v>
      </c>
      <c r="B29" t="s">
        <v>53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s="10" t="s">
        <v>53</v>
      </c>
      <c r="K29" t="s">
        <v>53</v>
      </c>
      <c r="L29" t="s">
        <v>53</v>
      </c>
      <c r="M29" t="s">
        <v>53</v>
      </c>
      <c r="S29" cm="1">
        <f t="array" ref="S29">SUM(IF("X"=B29:R29,1,0))</f>
        <v>12</v>
      </c>
    </row>
    <row r="30" spans="1:19" x14ac:dyDescent="0.2">
      <c r="A30" t="s">
        <v>126</v>
      </c>
      <c r="B30" t="s">
        <v>53</v>
      </c>
      <c r="G30" t="s">
        <v>53</v>
      </c>
      <c r="H30" t="s">
        <v>53</v>
      </c>
      <c r="I30" t="s">
        <v>53</v>
      </c>
      <c r="J30" s="10" t="s">
        <v>53</v>
      </c>
      <c r="K30" t="s">
        <v>53</v>
      </c>
      <c r="L30" t="s">
        <v>53</v>
      </c>
      <c r="M30" t="s">
        <v>53</v>
      </c>
      <c r="N30" t="s">
        <v>53</v>
      </c>
      <c r="P30" t="s">
        <v>53</v>
      </c>
      <c r="R30" t="s">
        <v>53</v>
      </c>
      <c r="S30" cm="1">
        <f t="array" ref="S30">SUM(IF("X"=B30:R30,1,0))</f>
        <v>11</v>
      </c>
    </row>
    <row r="31" spans="1:19" x14ac:dyDescent="0.2">
      <c r="A31" t="s">
        <v>127</v>
      </c>
      <c r="B31" t="s">
        <v>53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s="10" t="s">
        <v>53</v>
      </c>
      <c r="K31" t="s">
        <v>53</v>
      </c>
      <c r="L31" t="s">
        <v>53</v>
      </c>
      <c r="M31" t="s">
        <v>53</v>
      </c>
      <c r="N31" t="s">
        <v>53</v>
      </c>
      <c r="P31" t="s">
        <v>53</v>
      </c>
      <c r="R31" t="s">
        <v>53</v>
      </c>
      <c r="S31" cm="1">
        <f t="array" ref="S31">SUM(IF("X"=B31:R31,1,0))</f>
        <v>15</v>
      </c>
    </row>
    <row r="32" spans="1:19" x14ac:dyDescent="0.2">
      <c r="A32" t="s">
        <v>129</v>
      </c>
      <c r="B32" t="s">
        <v>53</v>
      </c>
      <c r="C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s="10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S32" cm="1">
        <f t="array" ref="S32">SUM(IF("X"=B32:R32,1,0))</f>
        <v>13</v>
      </c>
    </row>
    <row r="33" spans="1:19" x14ac:dyDescent="0.2">
      <c r="A33" t="s">
        <v>130</v>
      </c>
      <c r="B33" t="s">
        <v>53</v>
      </c>
      <c r="C33" t="s">
        <v>53</v>
      </c>
      <c r="D33" t="s">
        <v>53</v>
      </c>
      <c r="G33" t="s">
        <v>53</v>
      </c>
      <c r="H33" t="s">
        <v>53</v>
      </c>
      <c r="I33" t="s">
        <v>53</v>
      </c>
      <c r="J33" s="10" t="s">
        <v>53</v>
      </c>
      <c r="K33" t="s">
        <v>53</v>
      </c>
      <c r="M33" t="s">
        <v>53</v>
      </c>
      <c r="O33" t="s">
        <v>53</v>
      </c>
      <c r="P33" t="s">
        <v>53</v>
      </c>
      <c r="Q33" t="s">
        <v>53</v>
      </c>
      <c r="R33" t="s">
        <v>53</v>
      </c>
      <c r="S33" cm="1">
        <f t="array" ref="S33">SUM(IF("X"=B33:R33,1,0))</f>
        <v>13</v>
      </c>
    </row>
    <row r="34" spans="1:19" x14ac:dyDescent="0.2">
      <c r="A34" t="s">
        <v>131</v>
      </c>
      <c r="B34" t="s">
        <v>53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s="10" t="s">
        <v>53</v>
      </c>
      <c r="K34" t="s">
        <v>53</v>
      </c>
      <c r="L34" t="s">
        <v>53</v>
      </c>
      <c r="M34" t="s">
        <v>53</v>
      </c>
      <c r="O34" t="s">
        <v>53</v>
      </c>
      <c r="P34" t="s">
        <v>53</v>
      </c>
      <c r="S34" cm="1">
        <f t="array" ref="S34">SUM(IF("X"=B34:R34,1,0))</f>
        <v>14</v>
      </c>
    </row>
    <row r="35" spans="1:19" x14ac:dyDescent="0.2">
      <c r="A35" t="s">
        <v>159</v>
      </c>
      <c r="B35" t="s">
        <v>53</v>
      </c>
      <c r="C35" t="s">
        <v>53</v>
      </c>
      <c r="D35" t="s">
        <v>53</v>
      </c>
      <c r="E35" t="s">
        <v>53</v>
      </c>
      <c r="F35" t="s">
        <v>53</v>
      </c>
      <c r="H35" t="s">
        <v>53</v>
      </c>
      <c r="I35" t="s">
        <v>53</v>
      </c>
      <c r="J35" s="10" t="s">
        <v>53</v>
      </c>
      <c r="K35" t="s">
        <v>53</v>
      </c>
      <c r="M35" t="s">
        <v>53</v>
      </c>
      <c r="N35" t="s">
        <v>53</v>
      </c>
      <c r="O35" t="s">
        <v>53</v>
      </c>
      <c r="P35" t="s">
        <v>53</v>
      </c>
      <c r="R35" t="s">
        <v>53</v>
      </c>
      <c r="S35" cm="1">
        <f t="array" ref="S35">SUM(IF("X"=B35:R35,1,0))</f>
        <v>14</v>
      </c>
    </row>
    <row r="36" spans="1:19" x14ac:dyDescent="0.2">
      <c r="A36" t="s">
        <v>160</v>
      </c>
      <c r="B36" t="s">
        <v>53</v>
      </c>
      <c r="C36" t="s">
        <v>53</v>
      </c>
      <c r="H36" t="s">
        <v>53</v>
      </c>
      <c r="I36" t="s">
        <v>53</v>
      </c>
      <c r="J36" s="10" t="s">
        <v>53</v>
      </c>
      <c r="K36" t="s">
        <v>53</v>
      </c>
      <c r="M36" t="s">
        <v>53</v>
      </c>
      <c r="N36" t="s">
        <v>53</v>
      </c>
      <c r="O36" t="s">
        <v>53</v>
      </c>
      <c r="S36" cm="1">
        <f t="array" ref="S36">SUM(IF("X"=B36:R36,1,0))</f>
        <v>9</v>
      </c>
    </row>
    <row r="37" spans="1:19" x14ac:dyDescent="0.2">
      <c r="A37" t="s">
        <v>161</v>
      </c>
      <c r="B37" t="s">
        <v>53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s="10" t="s">
        <v>53</v>
      </c>
      <c r="K37" t="s">
        <v>53</v>
      </c>
      <c r="N37" t="s">
        <v>53</v>
      </c>
      <c r="O37" t="s">
        <v>53</v>
      </c>
      <c r="P37" t="s">
        <v>53</v>
      </c>
      <c r="R37" t="s">
        <v>53</v>
      </c>
      <c r="S37" cm="1">
        <f t="array" ref="S37">SUM(IF("X"=B37:R37,1,0))</f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DE2-CBED-3547-A85D-E7B21203B323}">
  <dimension ref="A1:P37"/>
  <sheetViews>
    <sheetView tabSelected="1" workbookViewId="0">
      <selection activeCell="Q9" sqref="Q9"/>
    </sheetView>
  </sheetViews>
  <sheetFormatPr baseColWidth="10" defaultRowHeight="16" x14ac:dyDescent="0.2"/>
  <cols>
    <col min="1" max="1" width="17.83203125" customWidth="1"/>
  </cols>
  <sheetData>
    <row r="1" spans="1:16" ht="19" x14ac:dyDescent="0.25">
      <c r="A1" s="3" t="s">
        <v>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10" t="s">
        <v>120</v>
      </c>
    </row>
    <row r="2" spans="1:16" x14ac:dyDescent="0.2">
      <c r="A2" t="s">
        <v>34</v>
      </c>
      <c r="B2" t="s">
        <v>53</v>
      </c>
      <c r="C2" t="s">
        <v>53</v>
      </c>
      <c r="E2" t="s">
        <v>53</v>
      </c>
      <c r="F2" t="s">
        <v>53</v>
      </c>
      <c r="G2" t="s">
        <v>53</v>
      </c>
      <c r="H2" s="10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cm="1">
        <f t="array" ref="P2">SUM(IF("X"=B2:O2,1,0))</f>
        <v>13</v>
      </c>
    </row>
    <row r="3" spans="1:16" x14ac:dyDescent="0.2">
      <c r="A3" t="s">
        <v>35</v>
      </c>
      <c r="B3" t="s">
        <v>53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s="10" t="s">
        <v>53</v>
      </c>
      <c r="I3" t="s">
        <v>53</v>
      </c>
      <c r="J3" t="s">
        <v>53</v>
      </c>
      <c r="K3" t="s">
        <v>53</v>
      </c>
      <c r="L3" t="s">
        <v>53</v>
      </c>
      <c r="N3" t="s">
        <v>53</v>
      </c>
      <c r="O3" t="s">
        <v>53</v>
      </c>
      <c r="P3" cm="1">
        <f t="array" ref="P3">SUM(IF("X"=B3:O3,1,0))</f>
        <v>13</v>
      </c>
    </row>
    <row r="4" spans="1:16" x14ac:dyDescent="0.2">
      <c r="A4" t="s">
        <v>36</v>
      </c>
      <c r="B4" t="s">
        <v>53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s="10" t="s">
        <v>53</v>
      </c>
      <c r="I4" t="s">
        <v>53</v>
      </c>
      <c r="K4" t="s">
        <v>53</v>
      </c>
      <c r="L4" t="s">
        <v>53</v>
      </c>
      <c r="M4" t="s">
        <v>53</v>
      </c>
      <c r="O4" t="s">
        <v>53</v>
      </c>
      <c r="P4" cm="1">
        <f t="array" ref="P4">SUM(IF("X"=B4:O4,1,0))</f>
        <v>12</v>
      </c>
    </row>
    <row r="5" spans="1:16" x14ac:dyDescent="0.2">
      <c r="A5" t="s">
        <v>37</v>
      </c>
      <c r="B5" t="s">
        <v>53</v>
      </c>
      <c r="C5" t="s">
        <v>53</v>
      </c>
      <c r="D5" t="s">
        <v>53</v>
      </c>
      <c r="E5" t="s">
        <v>53</v>
      </c>
      <c r="F5" t="s">
        <v>53</v>
      </c>
      <c r="H5" s="10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cm="1">
        <f t="array" ref="P5">SUM(IF("X"=B5:O5,1,0))</f>
        <v>12</v>
      </c>
    </row>
    <row r="6" spans="1:16" x14ac:dyDescent="0.2">
      <c r="A6" t="s">
        <v>38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s="10" t="s">
        <v>53</v>
      </c>
      <c r="J6" t="s">
        <v>53</v>
      </c>
      <c r="K6" t="s">
        <v>53</v>
      </c>
      <c r="L6" t="s">
        <v>53</v>
      </c>
      <c r="M6" t="s">
        <v>53</v>
      </c>
      <c r="O6" t="s">
        <v>53</v>
      </c>
      <c r="P6" cm="1">
        <f t="array" ref="P6">SUM(IF("X"=B6:O6,1,0))</f>
        <v>12</v>
      </c>
    </row>
    <row r="7" spans="1:16" x14ac:dyDescent="0.2">
      <c r="A7" t="s">
        <v>39</v>
      </c>
      <c r="B7" t="s">
        <v>53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s="10" t="s">
        <v>53</v>
      </c>
      <c r="I7" t="s">
        <v>53</v>
      </c>
      <c r="K7" t="s">
        <v>53</v>
      </c>
      <c r="L7" t="s">
        <v>53</v>
      </c>
      <c r="M7" t="s">
        <v>53</v>
      </c>
      <c r="O7" t="s">
        <v>53</v>
      </c>
      <c r="P7" cm="1">
        <f t="array" ref="P7">SUM(IF("X"=B7:O7,1,0))</f>
        <v>12</v>
      </c>
    </row>
    <row r="8" spans="1:16" x14ac:dyDescent="0.2">
      <c r="A8" t="s">
        <v>40</v>
      </c>
      <c r="B8" t="s">
        <v>53</v>
      </c>
      <c r="C8" t="s">
        <v>53</v>
      </c>
      <c r="D8" t="s">
        <v>53</v>
      </c>
      <c r="G8" t="s">
        <v>53</v>
      </c>
      <c r="H8" s="10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cm="1">
        <f t="array" ref="P8">SUM(IF("X"=B8:O8,1,0))</f>
        <v>11</v>
      </c>
    </row>
    <row r="9" spans="1:16" x14ac:dyDescent="0.2">
      <c r="A9" t="s">
        <v>41</v>
      </c>
      <c r="B9" t="s">
        <v>53</v>
      </c>
      <c r="C9" t="s">
        <v>53</v>
      </c>
      <c r="D9" t="s">
        <v>53</v>
      </c>
      <c r="E9" t="s">
        <v>53</v>
      </c>
      <c r="G9" t="s">
        <v>53</v>
      </c>
      <c r="H9" s="10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O9" t="s">
        <v>53</v>
      </c>
      <c r="P9" cm="1">
        <f t="array" ref="P9">SUM(IF("X"=B9:O9,1,0))</f>
        <v>12</v>
      </c>
    </row>
    <row r="10" spans="1:16" x14ac:dyDescent="0.2">
      <c r="A10" t="s">
        <v>107</v>
      </c>
      <c r="B10" t="s">
        <v>53</v>
      </c>
      <c r="C10" t="s">
        <v>53</v>
      </c>
      <c r="D10" t="s">
        <v>53</v>
      </c>
      <c r="E10" t="s">
        <v>53</v>
      </c>
      <c r="F10" t="s">
        <v>53</v>
      </c>
      <c r="H10" s="10" t="s">
        <v>53</v>
      </c>
      <c r="J10" t="s">
        <v>53</v>
      </c>
      <c r="K10" t="s">
        <v>53</v>
      </c>
      <c r="M10" t="s">
        <v>53</v>
      </c>
      <c r="N10" t="s">
        <v>53</v>
      </c>
      <c r="O10" t="s">
        <v>53</v>
      </c>
      <c r="P10" cm="1">
        <f t="array" ref="P10">SUM(IF("X"=B10:O10,1,0))</f>
        <v>11</v>
      </c>
    </row>
    <row r="11" spans="1:16" x14ac:dyDescent="0.2">
      <c r="A11" t="s">
        <v>44</v>
      </c>
      <c r="B11" t="s">
        <v>53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s="10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cm="1">
        <f t="array" ref="P11">SUM(IF("X"=B11:O11,1,0))</f>
        <v>14</v>
      </c>
    </row>
    <row r="12" spans="1:16" x14ac:dyDescent="0.2">
      <c r="A12" t="s">
        <v>46</v>
      </c>
      <c r="B12" t="s">
        <v>53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s="10" t="s">
        <v>53</v>
      </c>
      <c r="I12" t="s">
        <v>53</v>
      </c>
      <c r="J12" t="s">
        <v>53</v>
      </c>
      <c r="K12" t="s">
        <v>53</v>
      </c>
      <c r="M12" t="s">
        <v>53</v>
      </c>
      <c r="N12" t="s">
        <v>53</v>
      </c>
      <c r="O12" t="s">
        <v>53</v>
      </c>
      <c r="P12" cm="1">
        <f t="array" ref="P12">SUM(IF("X"=B12:O12,1,0))</f>
        <v>13</v>
      </c>
    </row>
    <row r="13" spans="1:16" x14ac:dyDescent="0.2">
      <c r="A13" t="s">
        <v>48</v>
      </c>
      <c r="B13" t="s">
        <v>53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s="10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P13" cm="1">
        <f t="array" ref="P13">SUM(IF("X"=B13:O13,1,0))</f>
        <v>13</v>
      </c>
    </row>
    <row r="14" spans="1:16" x14ac:dyDescent="0.2">
      <c r="A14" t="s">
        <v>51</v>
      </c>
      <c r="B14" t="s">
        <v>53</v>
      </c>
      <c r="C14" t="s">
        <v>53</v>
      </c>
      <c r="D14" t="s">
        <v>53</v>
      </c>
      <c r="F14" t="s">
        <v>53</v>
      </c>
      <c r="G14" t="s">
        <v>53</v>
      </c>
      <c r="H14" s="10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O14" t="s">
        <v>53</v>
      </c>
      <c r="P14" cm="1">
        <f t="array" ref="P14">SUM(IF("X"=B14:O14,1,0))</f>
        <v>12</v>
      </c>
    </row>
    <row r="15" spans="1:16" x14ac:dyDescent="0.2">
      <c r="A15" t="s">
        <v>52</v>
      </c>
      <c r="B15" t="s">
        <v>53</v>
      </c>
      <c r="G15" t="s">
        <v>53</v>
      </c>
      <c r="H15" s="10" t="s">
        <v>53</v>
      </c>
      <c r="I15" t="s">
        <v>53</v>
      </c>
      <c r="J15" t="s">
        <v>53</v>
      </c>
      <c r="K15" t="s">
        <v>53</v>
      </c>
      <c r="M15" t="s">
        <v>53</v>
      </c>
      <c r="O15" t="s">
        <v>53</v>
      </c>
      <c r="P15" cm="1">
        <f t="array" ref="P15">SUM(IF("X"=B15:O15,1,0))</f>
        <v>8</v>
      </c>
    </row>
    <row r="16" spans="1:16" x14ac:dyDescent="0.2">
      <c r="A16" t="s">
        <v>61</v>
      </c>
      <c r="B16" t="s">
        <v>53</v>
      </c>
      <c r="D16" t="s">
        <v>53</v>
      </c>
      <c r="E16" t="s">
        <v>53</v>
      </c>
      <c r="F16" t="s">
        <v>53</v>
      </c>
      <c r="G16" t="s">
        <v>53</v>
      </c>
      <c r="H16" s="10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P16" cm="1">
        <f t="array" ref="P16">SUM(IF("X"=B16:O16,1,0))</f>
        <v>11</v>
      </c>
    </row>
    <row r="17" spans="1:16" x14ac:dyDescent="0.2">
      <c r="A17" t="s">
        <v>108</v>
      </c>
      <c r="B17" t="s">
        <v>53</v>
      </c>
      <c r="D17" t="s">
        <v>53</v>
      </c>
      <c r="F17" t="s">
        <v>53</v>
      </c>
      <c r="G17" t="s">
        <v>53</v>
      </c>
      <c r="H17" s="10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P17" cm="1">
        <f t="array" ref="P17">SUM(IF("X"=B17:O17,1,0))</f>
        <v>10</v>
      </c>
    </row>
    <row r="18" spans="1:16" x14ac:dyDescent="0.2">
      <c r="A18" t="s">
        <v>45</v>
      </c>
      <c r="B18" t="s">
        <v>53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s="10" t="s">
        <v>53</v>
      </c>
      <c r="J18" t="s">
        <v>53</v>
      </c>
      <c r="P18" cm="1">
        <f t="array" ref="P18">SUM(IF("X"=B18:O18,1,0))</f>
        <v>8</v>
      </c>
    </row>
    <row r="19" spans="1:16" x14ac:dyDescent="0.2">
      <c r="A19" t="s">
        <v>106</v>
      </c>
      <c r="B19" s="20" t="s">
        <v>53</v>
      </c>
      <c r="C19" s="20" t="s">
        <v>53</v>
      </c>
      <c r="D19" s="20" t="s">
        <v>53</v>
      </c>
      <c r="E19" s="20" t="s">
        <v>53</v>
      </c>
      <c r="F19" s="20" t="s">
        <v>53</v>
      </c>
      <c r="G19" s="20" t="s">
        <v>53</v>
      </c>
      <c r="H19" s="21" t="s">
        <v>53</v>
      </c>
      <c r="I19" s="20" t="s">
        <v>53</v>
      </c>
      <c r="J19" s="20" t="s">
        <v>53</v>
      </c>
      <c r="K19" s="20" t="s">
        <v>53</v>
      </c>
      <c r="L19" s="20" t="s">
        <v>53</v>
      </c>
      <c r="M19" s="20"/>
      <c r="N19" s="20"/>
      <c r="O19" s="20" t="s">
        <v>53</v>
      </c>
      <c r="P19" cm="1">
        <f t="array" ref="P19">SUM(IF("X"=B19:O19,1,0))</f>
        <v>12</v>
      </c>
    </row>
    <row r="20" spans="1:16" x14ac:dyDescent="0.2">
      <c r="A20" t="s">
        <v>103</v>
      </c>
      <c r="B20" t="s">
        <v>53</v>
      </c>
      <c r="C20" t="s">
        <v>53</v>
      </c>
      <c r="D20" t="s">
        <v>53</v>
      </c>
      <c r="F20" t="s">
        <v>53</v>
      </c>
      <c r="G20" t="s">
        <v>53</v>
      </c>
      <c r="H20" s="10" t="s">
        <v>53</v>
      </c>
      <c r="J20" t="s">
        <v>53</v>
      </c>
      <c r="K20" t="s">
        <v>53</v>
      </c>
      <c r="M20" t="s">
        <v>53</v>
      </c>
      <c r="O20" t="s">
        <v>53</v>
      </c>
      <c r="P20" cm="1">
        <f t="array" ref="P20">SUM(IF("X"=B20:O20,1,0))</f>
        <v>10</v>
      </c>
    </row>
    <row r="21" spans="1:16" x14ac:dyDescent="0.2">
      <c r="A21" t="s">
        <v>124</v>
      </c>
      <c r="C21" t="s">
        <v>53</v>
      </c>
      <c r="D21" t="s">
        <v>53</v>
      </c>
      <c r="G21" t="s">
        <v>53</v>
      </c>
      <c r="H21" s="10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cm="1">
        <f t="array" ref="P21">SUM(IF("X"=B21:O21,1,0))</f>
        <v>11</v>
      </c>
    </row>
    <row r="22" spans="1:16" x14ac:dyDescent="0.2">
      <c r="A22" t="s">
        <v>116</v>
      </c>
      <c r="B22" s="20" t="s">
        <v>53</v>
      </c>
      <c r="C22" s="20" t="s">
        <v>53</v>
      </c>
      <c r="D22" s="20" t="s">
        <v>53</v>
      </c>
      <c r="E22" s="20"/>
      <c r="F22" s="20" t="s">
        <v>53</v>
      </c>
      <c r="G22" s="20" t="s">
        <v>53</v>
      </c>
      <c r="H22" s="21" t="s">
        <v>53</v>
      </c>
      <c r="I22" s="20" t="s">
        <v>53</v>
      </c>
      <c r="J22" s="20" t="s">
        <v>53</v>
      </c>
      <c r="K22" s="20" t="s">
        <v>53</v>
      </c>
      <c r="L22" s="20"/>
      <c r="M22" s="20" t="s">
        <v>53</v>
      </c>
      <c r="N22" s="20"/>
      <c r="O22" s="20" t="s">
        <v>53</v>
      </c>
      <c r="P22" cm="1">
        <f t="array" ref="P22">SUM(IF("X"=B22:O22,1,0))</f>
        <v>11</v>
      </c>
    </row>
    <row r="23" spans="1:16" x14ac:dyDescent="0.2">
      <c r="A23" t="s">
        <v>117</v>
      </c>
      <c r="B23" t="s">
        <v>53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s="10" t="s">
        <v>53</v>
      </c>
      <c r="J23" t="s">
        <v>53</v>
      </c>
      <c r="M23" t="s">
        <v>53</v>
      </c>
      <c r="O23" t="s">
        <v>53</v>
      </c>
      <c r="P23" cm="1">
        <f t="array" ref="P23">SUM(IF("X"=B23:O23,1,0))</f>
        <v>10</v>
      </c>
    </row>
    <row r="24" spans="1:16" x14ac:dyDescent="0.2">
      <c r="A24" t="s">
        <v>118</v>
      </c>
      <c r="B24" t="s">
        <v>53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s="10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cm="1">
        <f t="array" ref="P24">SUM(IF("X"=B24:O24,1,0))</f>
        <v>13</v>
      </c>
    </row>
    <row r="25" spans="1:16" x14ac:dyDescent="0.2">
      <c r="A25" t="s">
        <v>121</v>
      </c>
      <c r="B25" t="s">
        <v>53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s="10" t="s">
        <v>53</v>
      </c>
      <c r="K25" t="s">
        <v>53</v>
      </c>
      <c r="L25" t="s">
        <v>53</v>
      </c>
      <c r="M25" t="s">
        <v>53</v>
      </c>
      <c r="O25" t="s">
        <v>53</v>
      </c>
      <c r="P25" cm="1">
        <f t="array" ref="P25">SUM(IF("X"=B25:O25,1,0))</f>
        <v>11</v>
      </c>
    </row>
    <row r="26" spans="1:16" x14ac:dyDescent="0.2">
      <c r="A26" t="s">
        <v>119</v>
      </c>
      <c r="B26" t="s">
        <v>53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s="10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O26" t="s">
        <v>53</v>
      </c>
      <c r="P26" cm="1">
        <f t="array" ref="P26">SUM(IF("X"=B26:O26,1,0))</f>
        <v>13</v>
      </c>
    </row>
    <row r="27" spans="1:16" x14ac:dyDescent="0.2">
      <c r="A27" t="s">
        <v>122</v>
      </c>
      <c r="B27" t="s">
        <v>53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s="10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cm="1">
        <f t="array" ref="P27">SUM(IF("X"=B27:O27,1,0))</f>
        <v>14</v>
      </c>
    </row>
    <row r="28" spans="1:16" x14ac:dyDescent="0.2">
      <c r="A28" t="s">
        <v>123</v>
      </c>
      <c r="B28" t="s">
        <v>53</v>
      </c>
      <c r="C28" t="s">
        <v>53</v>
      </c>
      <c r="D28" t="s">
        <v>53</v>
      </c>
      <c r="F28" t="s">
        <v>53</v>
      </c>
      <c r="G28" t="s">
        <v>53</v>
      </c>
      <c r="H28" s="10" t="s">
        <v>53</v>
      </c>
      <c r="I28" t="s">
        <v>53</v>
      </c>
      <c r="J28" t="s">
        <v>53</v>
      </c>
      <c r="K28" t="s">
        <v>53</v>
      </c>
      <c r="M28" t="s">
        <v>53</v>
      </c>
      <c r="O28" t="s">
        <v>53</v>
      </c>
      <c r="P28" cm="1">
        <f t="array" ref="P28">SUM(IF("X"=B28:O28,1,0))</f>
        <v>11</v>
      </c>
    </row>
    <row r="29" spans="1:16" x14ac:dyDescent="0.2">
      <c r="A29" t="s">
        <v>125</v>
      </c>
      <c r="B29" t="s">
        <v>53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s="10" t="s">
        <v>53</v>
      </c>
      <c r="I29" t="s">
        <v>53</v>
      </c>
      <c r="J29" t="s">
        <v>53</v>
      </c>
      <c r="P29" cm="1">
        <f t="array" ref="P29">SUM(IF("X"=B29:O29,1,0))</f>
        <v>9</v>
      </c>
    </row>
    <row r="30" spans="1:16" x14ac:dyDescent="0.2">
      <c r="A30" t="s">
        <v>126</v>
      </c>
      <c r="B30" t="s">
        <v>53</v>
      </c>
      <c r="F30" t="s">
        <v>53</v>
      </c>
      <c r="G30" t="s">
        <v>53</v>
      </c>
      <c r="H30" s="10" t="s">
        <v>53</v>
      </c>
      <c r="I30" t="s">
        <v>53</v>
      </c>
      <c r="J30" t="s">
        <v>53</v>
      </c>
      <c r="K30" t="s">
        <v>53</v>
      </c>
      <c r="M30" t="s">
        <v>53</v>
      </c>
      <c r="O30" t="s">
        <v>53</v>
      </c>
      <c r="P30" cm="1">
        <f t="array" ref="P30">SUM(IF("X"=B30:O30,1,0))</f>
        <v>9</v>
      </c>
    </row>
    <row r="31" spans="1:16" x14ac:dyDescent="0.2">
      <c r="A31" t="s">
        <v>127</v>
      </c>
      <c r="B31" t="s">
        <v>53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s="10" t="s">
        <v>53</v>
      </c>
      <c r="I31" t="s">
        <v>53</v>
      </c>
      <c r="J31" t="s">
        <v>53</v>
      </c>
      <c r="K31" t="s">
        <v>53</v>
      </c>
      <c r="M31" t="s">
        <v>53</v>
      </c>
      <c r="O31" t="s">
        <v>53</v>
      </c>
      <c r="P31" cm="1">
        <f t="array" ref="P31">SUM(IF("X"=B31:O31,1,0))</f>
        <v>12</v>
      </c>
    </row>
    <row r="32" spans="1:16" x14ac:dyDescent="0.2">
      <c r="A32" t="s">
        <v>129</v>
      </c>
      <c r="B32" t="s">
        <v>53</v>
      </c>
      <c r="C32" t="s">
        <v>53</v>
      </c>
      <c r="E32" t="s">
        <v>53</v>
      </c>
      <c r="F32" t="s">
        <v>53</v>
      </c>
      <c r="G32" t="s">
        <v>53</v>
      </c>
      <c r="H32" s="10" t="s">
        <v>53</v>
      </c>
      <c r="I32" t="s">
        <v>53</v>
      </c>
      <c r="J32" t="s">
        <v>53</v>
      </c>
      <c r="K32" t="s">
        <v>53</v>
      </c>
      <c r="L32" t="s">
        <v>53</v>
      </c>
      <c r="P32" cm="1">
        <f t="array" ref="P32">SUM(IF("X"=B32:O32,1,0))</f>
        <v>10</v>
      </c>
    </row>
    <row r="33" spans="1:16" x14ac:dyDescent="0.2">
      <c r="A33" t="s">
        <v>130</v>
      </c>
      <c r="B33" t="s">
        <v>53</v>
      </c>
      <c r="C33" t="s">
        <v>53</v>
      </c>
      <c r="D33" t="s">
        <v>53</v>
      </c>
      <c r="F33" t="s">
        <v>53</v>
      </c>
      <c r="G33" t="s">
        <v>53</v>
      </c>
      <c r="H33" s="10" t="s">
        <v>53</v>
      </c>
      <c r="J33" t="s">
        <v>53</v>
      </c>
      <c r="L33" t="s">
        <v>53</v>
      </c>
      <c r="M33" t="s">
        <v>53</v>
      </c>
      <c r="N33" t="s">
        <v>53</v>
      </c>
      <c r="O33" t="s">
        <v>53</v>
      </c>
      <c r="P33" cm="1">
        <f t="array" ref="P33">SUM(IF("X"=B33:O33,1,0))</f>
        <v>11</v>
      </c>
    </row>
    <row r="34" spans="1:16" x14ac:dyDescent="0.2">
      <c r="A34" t="s">
        <v>131</v>
      </c>
      <c r="B34" t="s">
        <v>53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s="10" t="s">
        <v>53</v>
      </c>
      <c r="I34" t="s">
        <v>53</v>
      </c>
      <c r="J34" t="s">
        <v>53</v>
      </c>
      <c r="L34" t="s">
        <v>53</v>
      </c>
      <c r="M34" t="s">
        <v>53</v>
      </c>
      <c r="P34" cm="1">
        <f t="array" ref="P34">SUM(IF("X"=B34:O34,1,0))</f>
        <v>11</v>
      </c>
    </row>
    <row r="35" spans="1:16" x14ac:dyDescent="0.2">
      <c r="A35" t="s">
        <v>159</v>
      </c>
      <c r="B35" t="s">
        <v>53</v>
      </c>
      <c r="C35" t="s">
        <v>53</v>
      </c>
      <c r="D35" t="s">
        <v>53</v>
      </c>
      <c r="E35" t="s">
        <v>53</v>
      </c>
      <c r="G35" t="s">
        <v>53</v>
      </c>
      <c r="H35" s="10" t="s">
        <v>53</v>
      </c>
      <c r="J35" t="s">
        <v>53</v>
      </c>
      <c r="K35" t="s">
        <v>53</v>
      </c>
      <c r="L35" t="s">
        <v>53</v>
      </c>
      <c r="M35" t="s">
        <v>53</v>
      </c>
      <c r="O35" t="s">
        <v>53</v>
      </c>
      <c r="P35" cm="1">
        <f t="array" ref="P35">SUM(IF("X"=B35:O35,1,0))</f>
        <v>11</v>
      </c>
    </row>
    <row r="36" spans="1:16" x14ac:dyDescent="0.2">
      <c r="A36" t="s">
        <v>160</v>
      </c>
      <c r="B36" t="s">
        <v>53</v>
      </c>
      <c r="C36" t="s">
        <v>53</v>
      </c>
      <c r="G36" t="s">
        <v>53</v>
      </c>
      <c r="H36" s="10" t="s">
        <v>53</v>
      </c>
      <c r="J36" t="s">
        <v>53</v>
      </c>
      <c r="K36" t="s">
        <v>53</v>
      </c>
      <c r="L36" t="s">
        <v>53</v>
      </c>
      <c r="P36" cm="1">
        <f t="array" ref="P36">SUM(IF("X"=B36:O36,1,0))</f>
        <v>7</v>
      </c>
    </row>
    <row r="37" spans="1:16" x14ac:dyDescent="0.2">
      <c r="A37" t="s">
        <v>161</v>
      </c>
      <c r="B37" t="s">
        <v>53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s="10" t="s">
        <v>53</v>
      </c>
      <c r="K37" t="s">
        <v>53</v>
      </c>
      <c r="L37" t="s">
        <v>53</v>
      </c>
      <c r="M37" t="s">
        <v>53</v>
      </c>
      <c r="O37" t="s">
        <v>53</v>
      </c>
      <c r="P37" cm="1">
        <f t="array" ref="P37">SUM(IF("X"=B37:O37,1,0))</f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0AFC-06D7-C248-A3C9-C81702073FA2}">
  <dimension ref="A1:DW129"/>
  <sheetViews>
    <sheetView zoomScaleNormal="100" workbookViewId="0">
      <selection activeCell="AP41" sqref="AP41"/>
    </sheetView>
  </sheetViews>
  <sheetFormatPr baseColWidth="10" defaultRowHeight="16" x14ac:dyDescent="0.2"/>
  <sheetData>
    <row r="1" spans="1:127" x14ac:dyDescent="0.2">
      <c r="A1" s="20" t="s">
        <v>163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T1" t="s">
        <v>164</v>
      </c>
      <c r="AM1" t="s">
        <v>165</v>
      </c>
      <c r="BE1" t="s">
        <v>166</v>
      </c>
      <c r="BW1" t="s">
        <v>167</v>
      </c>
      <c r="CO1" t="s">
        <v>168</v>
      </c>
      <c r="DG1" t="s">
        <v>169</v>
      </c>
    </row>
    <row r="2" spans="1:127" ht="19" x14ac:dyDescent="0.25">
      <c r="A2" s="22" t="s">
        <v>0</v>
      </c>
      <c r="B2" s="23">
        <v>1</v>
      </c>
      <c r="C2" s="23">
        <v>2</v>
      </c>
      <c r="D2" s="23">
        <v>3</v>
      </c>
      <c r="E2" s="23">
        <v>4</v>
      </c>
      <c r="F2" s="23">
        <v>5</v>
      </c>
      <c r="G2" s="23">
        <v>6</v>
      </c>
      <c r="H2" s="23">
        <v>7</v>
      </c>
      <c r="I2" s="23">
        <v>8</v>
      </c>
      <c r="J2" s="23">
        <v>9</v>
      </c>
      <c r="K2" s="23">
        <v>10</v>
      </c>
      <c r="L2" s="23">
        <v>11</v>
      </c>
      <c r="M2" s="23">
        <v>12</v>
      </c>
      <c r="N2" s="23">
        <v>13</v>
      </c>
      <c r="O2" s="23">
        <v>14</v>
      </c>
      <c r="P2" s="23">
        <v>15</v>
      </c>
      <c r="Q2" s="23">
        <v>16</v>
      </c>
      <c r="R2" s="23">
        <v>17</v>
      </c>
      <c r="U2" s="20" t="s">
        <v>170</v>
      </c>
      <c r="V2" s="20" t="s">
        <v>171</v>
      </c>
      <c r="W2" s="20" t="s">
        <v>172</v>
      </c>
      <c r="X2" s="20" t="s">
        <v>173</v>
      </c>
      <c r="Y2" s="20" t="s">
        <v>174</v>
      </c>
      <c r="Z2" s="20" t="s">
        <v>175</v>
      </c>
      <c r="AA2" s="20" t="s">
        <v>176</v>
      </c>
      <c r="AB2" s="20" t="s">
        <v>177</v>
      </c>
      <c r="AC2" s="20" t="s">
        <v>178</v>
      </c>
      <c r="AD2" s="20" t="s">
        <v>179</v>
      </c>
      <c r="AE2" s="20" t="s">
        <v>180</v>
      </c>
      <c r="AF2" s="20" t="s">
        <v>181</v>
      </c>
      <c r="AG2" s="20" t="s">
        <v>182</v>
      </c>
      <c r="AH2" s="20" t="s">
        <v>183</v>
      </c>
      <c r="AI2" s="20" t="s">
        <v>184</v>
      </c>
      <c r="AJ2" s="20" t="s">
        <v>185</v>
      </c>
      <c r="AK2" s="20" t="s">
        <v>186</v>
      </c>
      <c r="AM2" s="20" t="s">
        <v>170</v>
      </c>
      <c r="AN2" s="20" t="s">
        <v>171</v>
      </c>
      <c r="AO2" s="20" t="s">
        <v>172</v>
      </c>
      <c r="AP2" s="20" t="s">
        <v>173</v>
      </c>
      <c r="AQ2" s="20" t="s">
        <v>174</v>
      </c>
      <c r="AR2" s="20" t="s">
        <v>175</v>
      </c>
      <c r="AS2" s="20" t="s">
        <v>176</v>
      </c>
      <c r="AT2" s="20" t="s">
        <v>177</v>
      </c>
      <c r="AU2" s="20" t="s">
        <v>178</v>
      </c>
      <c r="AV2" s="20" t="s">
        <v>179</v>
      </c>
      <c r="AW2" s="20" t="s">
        <v>180</v>
      </c>
      <c r="AX2" s="20" t="s">
        <v>181</v>
      </c>
      <c r="AY2" s="20" t="s">
        <v>182</v>
      </c>
      <c r="AZ2" s="20" t="s">
        <v>183</v>
      </c>
      <c r="BA2" s="20" t="s">
        <v>184</v>
      </c>
      <c r="BB2" s="20" t="s">
        <v>185</v>
      </c>
      <c r="BC2" s="20" t="s">
        <v>186</v>
      </c>
      <c r="BE2" s="20" t="s">
        <v>170</v>
      </c>
      <c r="BF2" s="20" t="s">
        <v>171</v>
      </c>
      <c r="BG2" s="20" t="s">
        <v>172</v>
      </c>
      <c r="BH2" s="20" t="s">
        <v>173</v>
      </c>
      <c r="BI2" s="20" t="s">
        <v>174</v>
      </c>
      <c r="BJ2" s="20" t="s">
        <v>175</v>
      </c>
      <c r="BK2" s="20" t="s">
        <v>176</v>
      </c>
      <c r="BL2" s="20" t="s">
        <v>177</v>
      </c>
      <c r="BM2" s="20" t="s">
        <v>178</v>
      </c>
      <c r="BN2" s="20" t="s">
        <v>179</v>
      </c>
      <c r="BO2" s="20" t="s">
        <v>180</v>
      </c>
      <c r="BP2" s="20" t="s">
        <v>181</v>
      </c>
      <c r="BQ2" s="20" t="s">
        <v>182</v>
      </c>
      <c r="BR2" s="20" t="s">
        <v>183</v>
      </c>
      <c r="BS2" s="20" t="s">
        <v>184</v>
      </c>
      <c r="BT2" s="20" t="s">
        <v>185</v>
      </c>
      <c r="BU2" s="20" t="s">
        <v>186</v>
      </c>
      <c r="BW2" s="20" t="s">
        <v>170</v>
      </c>
      <c r="BX2" s="20" t="s">
        <v>171</v>
      </c>
      <c r="BY2" s="20" t="s">
        <v>172</v>
      </c>
      <c r="BZ2" s="20" t="s">
        <v>173</v>
      </c>
      <c r="CA2" s="20" t="s">
        <v>174</v>
      </c>
      <c r="CB2" s="20" t="s">
        <v>175</v>
      </c>
      <c r="CC2" s="20" t="s">
        <v>176</v>
      </c>
      <c r="CD2" s="20" t="s">
        <v>177</v>
      </c>
      <c r="CE2" s="20" t="s">
        <v>178</v>
      </c>
      <c r="CF2" s="20" t="s">
        <v>179</v>
      </c>
      <c r="CG2" s="20" t="s">
        <v>180</v>
      </c>
      <c r="CH2" s="20" t="s">
        <v>181</v>
      </c>
      <c r="CI2" s="20" t="s">
        <v>182</v>
      </c>
      <c r="CJ2" s="20" t="s">
        <v>183</v>
      </c>
      <c r="CK2" s="20" t="s">
        <v>184</v>
      </c>
      <c r="CL2" s="20" t="s">
        <v>185</v>
      </c>
      <c r="CM2" s="20" t="s">
        <v>186</v>
      </c>
      <c r="CO2" s="20" t="s">
        <v>170</v>
      </c>
      <c r="CP2" s="20" t="s">
        <v>171</v>
      </c>
      <c r="CQ2" s="20" t="s">
        <v>172</v>
      </c>
      <c r="CR2" s="20" t="s">
        <v>173</v>
      </c>
      <c r="CS2" s="20" t="s">
        <v>174</v>
      </c>
      <c r="CT2" s="20" t="s">
        <v>175</v>
      </c>
      <c r="CU2" s="20" t="s">
        <v>176</v>
      </c>
      <c r="CV2" s="20" t="s">
        <v>177</v>
      </c>
      <c r="CW2" s="20" t="s">
        <v>178</v>
      </c>
      <c r="CX2" s="20" t="s">
        <v>179</v>
      </c>
      <c r="CY2" s="20" t="s">
        <v>180</v>
      </c>
      <c r="CZ2" s="20" t="s">
        <v>181</v>
      </c>
      <c r="DA2" s="20" t="s">
        <v>182</v>
      </c>
      <c r="DB2" s="20" t="s">
        <v>183</v>
      </c>
      <c r="DC2" s="20" t="s">
        <v>184</v>
      </c>
      <c r="DD2" s="20" t="s">
        <v>185</v>
      </c>
      <c r="DE2" s="20" t="s">
        <v>186</v>
      </c>
      <c r="DG2" s="20" t="s">
        <v>170</v>
      </c>
      <c r="DH2" s="20" t="s">
        <v>171</v>
      </c>
      <c r="DI2" s="20" t="s">
        <v>172</v>
      </c>
      <c r="DJ2" s="20" t="s">
        <v>173</v>
      </c>
      <c r="DK2" s="20" t="s">
        <v>174</v>
      </c>
      <c r="DL2" s="20" t="s">
        <v>175</v>
      </c>
      <c r="DM2" s="20" t="s">
        <v>176</v>
      </c>
      <c r="DN2" s="20" t="s">
        <v>177</v>
      </c>
      <c r="DO2" s="20" t="s">
        <v>178</v>
      </c>
      <c r="DP2" s="20" t="s">
        <v>179</v>
      </c>
      <c r="DQ2" s="20" t="s">
        <v>180</v>
      </c>
      <c r="DR2" s="20" t="s">
        <v>181</v>
      </c>
      <c r="DS2" s="20" t="s">
        <v>182</v>
      </c>
      <c r="DT2" s="20" t="s">
        <v>183</v>
      </c>
      <c r="DU2" s="20" t="s">
        <v>184</v>
      </c>
      <c r="DV2" s="20" t="s">
        <v>185</v>
      </c>
      <c r="DW2" s="20" t="s">
        <v>186</v>
      </c>
    </row>
    <row r="3" spans="1:127" x14ac:dyDescent="0.2">
      <c r="A3" s="20" t="s">
        <v>34</v>
      </c>
      <c r="B3" s="20" t="s">
        <v>53</v>
      </c>
      <c r="C3" s="20" t="s">
        <v>53</v>
      </c>
      <c r="D3" s="20"/>
      <c r="E3" s="20" t="s">
        <v>53</v>
      </c>
      <c r="F3" s="20" t="s">
        <v>53</v>
      </c>
      <c r="G3" s="20" t="s">
        <v>53</v>
      </c>
      <c r="H3" s="20" t="s">
        <v>53</v>
      </c>
      <c r="I3" s="20" t="s">
        <v>53</v>
      </c>
      <c r="J3" s="21" t="s">
        <v>53</v>
      </c>
      <c r="K3" s="20" t="s">
        <v>53</v>
      </c>
      <c r="L3" s="20" t="s">
        <v>53</v>
      </c>
      <c r="M3" s="20" t="s">
        <v>53</v>
      </c>
      <c r="N3" s="20" t="s">
        <v>53</v>
      </c>
      <c r="O3" s="20" t="s">
        <v>53</v>
      </c>
      <c r="P3" s="20" t="s">
        <v>53</v>
      </c>
      <c r="Q3" s="20" t="s">
        <v>53</v>
      </c>
      <c r="R3" s="20" t="s">
        <v>53</v>
      </c>
      <c r="U3" s="20" t="s">
        <v>53</v>
      </c>
      <c r="V3" s="20" t="s">
        <v>53</v>
      </c>
      <c r="W3" s="20"/>
      <c r="X3" s="20" t="s">
        <v>53</v>
      </c>
      <c r="Y3" s="20" t="s">
        <v>53</v>
      </c>
      <c r="Z3" s="20" t="s">
        <v>53</v>
      </c>
      <c r="AA3" s="20" t="s">
        <v>53</v>
      </c>
      <c r="AB3" s="20" t="s">
        <v>53</v>
      </c>
      <c r="AC3" s="20" t="s">
        <v>53</v>
      </c>
      <c r="AD3" s="20" t="s">
        <v>53</v>
      </c>
      <c r="AE3" s="20" t="s">
        <v>53</v>
      </c>
      <c r="AF3" s="20" t="s">
        <v>53</v>
      </c>
      <c r="AG3" s="20" t="s">
        <v>53</v>
      </c>
      <c r="AH3" s="20" t="s">
        <v>53</v>
      </c>
      <c r="AI3" s="20" t="s">
        <v>53</v>
      </c>
      <c r="AJ3" s="20" t="s">
        <v>53</v>
      </c>
      <c r="AK3" s="20" t="s">
        <v>53</v>
      </c>
      <c r="AM3">
        <f>IF(B3=U3,1,0)</f>
        <v>1</v>
      </c>
      <c r="AN3">
        <f t="shared" ref="AN3:BC18" si="0">IF(C3=V3,1,0)</f>
        <v>1</v>
      </c>
      <c r="AO3">
        <f t="shared" si="0"/>
        <v>1</v>
      </c>
      <c r="AP3">
        <f t="shared" si="0"/>
        <v>1</v>
      </c>
      <c r="AQ3">
        <f t="shared" si="0"/>
        <v>1</v>
      </c>
      <c r="AR3">
        <f t="shared" si="0"/>
        <v>1</v>
      </c>
      <c r="AS3">
        <f t="shared" si="0"/>
        <v>1</v>
      </c>
      <c r="AT3">
        <f t="shared" si="0"/>
        <v>1</v>
      </c>
      <c r="AU3">
        <f t="shared" si="0"/>
        <v>1</v>
      </c>
      <c r="AV3">
        <f t="shared" si="0"/>
        <v>1</v>
      </c>
      <c r="AW3">
        <f t="shared" si="0"/>
        <v>1</v>
      </c>
      <c r="AX3">
        <f t="shared" si="0"/>
        <v>1</v>
      </c>
      <c r="AY3">
        <f t="shared" si="0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  <c r="BE3">
        <f>IF(AND(B3="X", U3 &lt;&gt;"X"),1,0)</f>
        <v>0</v>
      </c>
      <c r="BF3">
        <f t="shared" ref="BF3:BU18" si="1">IF(AND(C3="X", V3 &lt;&gt;"X"),1,0)</f>
        <v>0</v>
      </c>
      <c r="BG3">
        <f t="shared" si="1"/>
        <v>0</v>
      </c>
      <c r="BH3">
        <f t="shared" si="1"/>
        <v>0</v>
      </c>
      <c r="BI3">
        <f t="shared" si="1"/>
        <v>0</v>
      </c>
      <c r="BJ3">
        <f t="shared" si="1"/>
        <v>0</v>
      </c>
      <c r="BK3">
        <f t="shared" si="1"/>
        <v>0</v>
      </c>
      <c r="BL3">
        <f t="shared" si="1"/>
        <v>0</v>
      </c>
      <c r="BM3">
        <f t="shared" si="1"/>
        <v>0</v>
      </c>
      <c r="BN3">
        <f t="shared" si="1"/>
        <v>0</v>
      </c>
      <c r="BO3">
        <f t="shared" si="1"/>
        <v>0</v>
      </c>
      <c r="BP3">
        <f t="shared" si="1"/>
        <v>0</v>
      </c>
      <c r="BQ3">
        <f t="shared" si="1"/>
        <v>0</v>
      </c>
      <c r="BR3">
        <f t="shared" si="1"/>
        <v>0</v>
      </c>
      <c r="BS3">
        <f t="shared" si="1"/>
        <v>0</v>
      </c>
      <c r="BT3">
        <f t="shared" si="1"/>
        <v>0</v>
      </c>
      <c r="BU3">
        <f t="shared" si="1"/>
        <v>0</v>
      </c>
      <c r="BW3">
        <f>IF(AND(B3&lt;&gt;"X", U3 ="X"),1,0)</f>
        <v>0</v>
      </c>
      <c r="BX3">
        <f t="shared" ref="BX3:CM18" si="2">IF(AND(C3&lt;&gt;"X", V3 ="X"),1,0)</f>
        <v>0</v>
      </c>
      <c r="BY3">
        <f t="shared" si="2"/>
        <v>0</v>
      </c>
      <c r="BZ3">
        <f t="shared" si="2"/>
        <v>0</v>
      </c>
      <c r="CA3">
        <f t="shared" si="2"/>
        <v>0</v>
      </c>
      <c r="CB3">
        <f t="shared" si="2"/>
        <v>0</v>
      </c>
      <c r="CC3">
        <f t="shared" si="2"/>
        <v>0</v>
      </c>
      <c r="CD3">
        <f t="shared" si="2"/>
        <v>0</v>
      </c>
      <c r="CE3">
        <f t="shared" si="2"/>
        <v>0</v>
      </c>
      <c r="CF3">
        <f t="shared" si="2"/>
        <v>0</v>
      </c>
      <c r="CG3">
        <f t="shared" si="2"/>
        <v>0</v>
      </c>
      <c r="CH3">
        <f t="shared" si="2"/>
        <v>0</v>
      </c>
      <c r="CI3">
        <f t="shared" si="2"/>
        <v>0</v>
      </c>
      <c r="CJ3">
        <f t="shared" si="2"/>
        <v>0</v>
      </c>
      <c r="CK3">
        <f t="shared" si="2"/>
        <v>0</v>
      </c>
      <c r="CL3">
        <f t="shared" si="2"/>
        <v>0</v>
      </c>
      <c r="CM3">
        <f t="shared" si="2"/>
        <v>0</v>
      </c>
      <c r="CO3">
        <f>IF(AND(B3=U3, B3="X"),1,0)</f>
        <v>1</v>
      </c>
      <c r="CP3">
        <f t="shared" ref="CP3:DE18" si="3">IF(AND(C3=V3, C3="X"),1,0)</f>
        <v>1</v>
      </c>
      <c r="CQ3">
        <f t="shared" si="3"/>
        <v>0</v>
      </c>
      <c r="CR3">
        <f t="shared" si="3"/>
        <v>1</v>
      </c>
      <c r="CS3">
        <f t="shared" si="3"/>
        <v>1</v>
      </c>
      <c r="CT3">
        <f t="shared" si="3"/>
        <v>1</v>
      </c>
      <c r="CU3">
        <f t="shared" si="3"/>
        <v>1</v>
      </c>
      <c r="CV3">
        <f t="shared" si="3"/>
        <v>1</v>
      </c>
      <c r="CW3">
        <f t="shared" si="3"/>
        <v>1</v>
      </c>
      <c r="CX3">
        <f t="shared" si="3"/>
        <v>1</v>
      </c>
      <c r="CY3">
        <f t="shared" si="3"/>
        <v>1</v>
      </c>
      <c r="CZ3">
        <f t="shared" si="3"/>
        <v>1</v>
      </c>
      <c r="DA3">
        <f t="shared" si="3"/>
        <v>1</v>
      </c>
      <c r="DB3">
        <f t="shared" si="3"/>
        <v>1</v>
      </c>
      <c r="DC3">
        <f t="shared" si="3"/>
        <v>1</v>
      </c>
      <c r="DD3">
        <f t="shared" si="3"/>
        <v>1</v>
      </c>
      <c r="DE3">
        <f t="shared" si="3"/>
        <v>1</v>
      </c>
      <c r="DG3">
        <f>IF(AND(B3=U3, B3&lt;&gt;"X"),1,0)</f>
        <v>0</v>
      </c>
      <c r="DH3">
        <f t="shared" ref="DH3:DW18" si="4">IF(AND(C3=V3, C3&lt;&gt;"X"),1,0)</f>
        <v>0</v>
      </c>
      <c r="DI3">
        <f t="shared" si="4"/>
        <v>1</v>
      </c>
      <c r="DJ3">
        <f t="shared" si="4"/>
        <v>0</v>
      </c>
      <c r="DK3">
        <f t="shared" si="4"/>
        <v>0</v>
      </c>
      <c r="DL3">
        <f t="shared" si="4"/>
        <v>0</v>
      </c>
      <c r="DM3">
        <f t="shared" si="4"/>
        <v>0</v>
      </c>
      <c r="DN3">
        <f t="shared" si="4"/>
        <v>0</v>
      </c>
      <c r="DO3">
        <f t="shared" si="4"/>
        <v>0</v>
      </c>
      <c r="DP3">
        <f t="shared" si="4"/>
        <v>0</v>
      </c>
      <c r="DQ3">
        <f t="shared" si="4"/>
        <v>0</v>
      </c>
      <c r="DR3">
        <f t="shared" si="4"/>
        <v>0</v>
      </c>
      <c r="DS3">
        <f t="shared" si="4"/>
        <v>0</v>
      </c>
      <c r="DT3">
        <f t="shared" si="4"/>
        <v>0</v>
      </c>
      <c r="DU3">
        <f t="shared" si="4"/>
        <v>0</v>
      </c>
      <c r="DV3">
        <f t="shared" si="4"/>
        <v>0</v>
      </c>
      <c r="DW3">
        <f t="shared" si="4"/>
        <v>0</v>
      </c>
    </row>
    <row r="4" spans="1:127" x14ac:dyDescent="0.2">
      <c r="A4" s="20" t="s">
        <v>35</v>
      </c>
      <c r="B4" s="20" t="s">
        <v>53</v>
      </c>
      <c r="C4" s="20" t="s">
        <v>53</v>
      </c>
      <c r="D4" s="20" t="s">
        <v>53</v>
      </c>
      <c r="E4" s="20" t="s">
        <v>53</v>
      </c>
      <c r="F4" s="20" t="s">
        <v>53</v>
      </c>
      <c r="G4" s="20" t="s">
        <v>53</v>
      </c>
      <c r="H4" s="20" t="s">
        <v>53</v>
      </c>
      <c r="I4" s="20" t="s">
        <v>53</v>
      </c>
      <c r="J4" s="21" t="s">
        <v>53</v>
      </c>
      <c r="K4" s="20" t="s">
        <v>53</v>
      </c>
      <c r="L4" s="20" t="s">
        <v>53</v>
      </c>
      <c r="M4" s="20" t="s">
        <v>53</v>
      </c>
      <c r="N4" s="20" t="s">
        <v>53</v>
      </c>
      <c r="O4" s="20" t="s">
        <v>53</v>
      </c>
      <c r="P4" s="20"/>
      <c r="Q4" s="20" t="s">
        <v>53</v>
      </c>
      <c r="R4" s="20" t="s">
        <v>53</v>
      </c>
      <c r="U4" s="20" t="s">
        <v>53</v>
      </c>
      <c r="V4" s="20" t="s">
        <v>53</v>
      </c>
      <c r="W4" s="20" t="s">
        <v>53</v>
      </c>
      <c r="X4" s="20" t="s">
        <v>53</v>
      </c>
      <c r="Y4" s="20" t="s">
        <v>53</v>
      </c>
      <c r="Z4" s="20" t="s">
        <v>53</v>
      </c>
      <c r="AA4" s="20" t="s">
        <v>53</v>
      </c>
      <c r="AB4" s="20" t="s">
        <v>53</v>
      </c>
      <c r="AC4" s="20" t="s">
        <v>53</v>
      </c>
      <c r="AD4" s="20" t="s">
        <v>53</v>
      </c>
      <c r="AE4" s="20" t="s">
        <v>53</v>
      </c>
      <c r="AF4" s="20" t="s">
        <v>53</v>
      </c>
      <c r="AG4" s="20" t="s">
        <v>53</v>
      </c>
      <c r="AH4" s="20" t="s">
        <v>53</v>
      </c>
      <c r="AI4" s="20"/>
      <c r="AJ4" s="20" t="s">
        <v>53</v>
      </c>
      <c r="AK4" s="20" t="s">
        <v>53</v>
      </c>
      <c r="AM4">
        <f t="shared" ref="AM4:BB38" si="5">IF(B4=U4,1,0)</f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  <c r="BE4">
        <f t="shared" ref="BE4:BT38" si="6">IF(AND(B4="X", U4 &lt;&gt;"X"),1,0)</f>
        <v>0</v>
      </c>
      <c r="BF4">
        <f t="shared" si="1"/>
        <v>0</v>
      </c>
      <c r="BG4">
        <f t="shared" si="1"/>
        <v>0</v>
      </c>
      <c r="BH4">
        <f t="shared" si="1"/>
        <v>0</v>
      </c>
      <c r="BI4">
        <f t="shared" si="1"/>
        <v>0</v>
      </c>
      <c r="BJ4">
        <f t="shared" si="1"/>
        <v>0</v>
      </c>
      <c r="BK4">
        <f t="shared" si="1"/>
        <v>0</v>
      </c>
      <c r="BL4">
        <f t="shared" si="1"/>
        <v>0</v>
      </c>
      <c r="BM4">
        <f t="shared" si="1"/>
        <v>0</v>
      </c>
      <c r="BN4">
        <f t="shared" si="1"/>
        <v>0</v>
      </c>
      <c r="BO4">
        <f t="shared" si="1"/>
        <v>0</v>
      </c>
      <c r="BP4">
        <f t="shared" si="1"/>
        <v>0</v>
      </c>
      <c r="BQ4">
        <f t="shared" si="1"/>
        <v>0</v>
      </c>
      <c r="BR4">
        <f t="shared" si="1"/>
        <v>0</v>
      </c>
      <c r="BS4">
        <f t="shared" si="1"/>
        <v>0</v>
      </c>
      <c r="BT4">
        <f t="shared" si="1"/>
        <v>0</v>
      </c>
      <c r="BU4">
        <f t="shared" si="1"/>
        <v>0</v>
      </c>
      <c r="BW4">
        <f t="shared" ref="BW4:CL38" si="7">IF(AND(B4&lt;&gt;"X", U4 ="X"),1,0)</f>
        <v>0</v>
      </c>
      <c r="BX4">
        <f t="shared" si="2"/>
        <v>0</v>
      </c>
      <c r="BY4">
        <f t="shared" si="2"/>
        <v>0</v>
      </c>
      <c r="BZ4">
        <f t="shared" si="2"/>
        <v>0</v>
      </c>
      <c r="CA4">
        <f t="shared" si="2"/>
        <v>0</v>
      </c>
      <c r="CB4">
        <f t="shared" si="2"/>
        <v>0</v>
      </c>
      <c r="CC4">
        <f t="shared" si="2"/>
        <v>0</v>
      </c>
      <c r="CD4">
        <f t="shared" si="2"/>
        <v>0</v>
      </c>
      <c r="CE4">
        <f t="shared" si="2"/>
        <v>0</v>
      </c>
      <c r="CF4">
        <f t="shared" si="2"/>
        <v>0</v>
      </c>
      <c r="CG4">
        <f t="shared" si="2"/>
        <v>0</v>
      </c>
      <c r="CH4">
        <f t="shared" si="2"/>
        <v>0</v>
      </c>
      <c r="CI4">
        <f t="shared" si="2"/>
        <v>0</v>
      </c>
      <c r="CJ4">
        <f t="shared" si="2"/>
        <v>0</v>
      </c>
      <c r="CK4">
        <f t="shared" si="2"/>
        <v>0</v>
      </c>
      <c r="CL4">
        <f t="shared" si="2"/>
        <v>0</v>
      </c>
      <c r="CM4">
        <f t="shared" si="2"/>
        <v>0</v>
      </c>
      <c r="CO4">
        <f t="shared" ref="CO4:DD38" si="8">IF(AND(B4=U4, B4="X"),1,0)</f>
        <v>1</v>
      </c>
      <c r="CP4">
        <f t="shared" si="3"/>
        <v>1</v>
      </c>
      <c r="CQ4">
        <f t="shared" si="3"/>
        <v>1</v>
      </c>
      <c r="CR4">
        <f t="shared" si="3"/>
        <v>1</v>
      </c>
      <c r="CS4">
        <f t="shared" si="3"/>
        <v>1</v>
      </c>
      <c r="CT4">
        <f t="shared" si="3"/>
        <v>1</v>
      </c>
      <c r="CU4">
        <f t="shared" si="3"/>
        <v>1</v>
      </c>
      <c r="CV4">
        <f t="shared" si="3"/>
        <v>1</v>
      </c>
      <c r="CW4">
        <f t="shared" si="3"/>
        <v>1</v>
      </c>
      <c r="CX4">
        <f t="shared" si="3"/>
        <v>1</v>
      </c>
      <c r="CY4">
        <f t="shared" si="3"/>
        <v>1</v>
      </c>
      <c r="CZ4">
        <f t="shared" si="3"/>
        <v>1</v>
      </c>
      <c r="DA4">
        <f t="shared" si="3"/>
        <v>1</v>
      </c>
      <c r="DB4">
        <f t="shared" si="3"/>
        <v>1</v>
      </c>
      <c r="DC4">
        <f t="shared" si="3"/>
        <v>0</v>
      </c>
      <c r="DD4">
        <f t="shared" si="3"/>
        <v>1</v>
      </c>
      <c r="DE4">
        <f t="shared" si="3"/>
        <v>1</v>
      </c>
      <c r="DG4">
        <f t="shared" ref="DG4:DV38" si="9">IF(AND(B4=U4, B4&lt;&gt;"X"),1,0)</f>
        <v>0</v>
      </c>
      <c r="DH4">
        <f t="shared" si="4"/>
        <v>0</v>
      </c>
      <c r="DI4">
        <f t="shared" si="4"/>
        <v>0</v>
      </c>
      <c r="DJ4">
        <f t="shared" si="4"/>
        <v>0</v>
      </c>
      <c r="DK4">
        <f t="shared" si="4"/>
        <v>0</v>
      </c>
      <c r="DL4">
        <f t="shared" si="4"/>
        <v>0</v>
      </c>
      <c r="DM4">
        <f t="shared" si="4"/>
        <v>0</v>
      </c>
      <c r="DN4">
        <f t="shared" si="4"/>
        <v>0</v>
      </c>
      <c r="DO4">
        <f t="shared" si="4"/>
        <v>0</v>
      </c>
      <c r="DP4">
        <f t="shared" si="4"/>
        <v>0</v>
      </c>
      <c r="DQ4">
        <f t="shared" si="4"/>
        <v>0</v>
      </c>
      <c r="DR4">
        <f t="shared" si="4"/>
        <v>0</v>
      </c>
      <c r="DS4">
        <f t="shared" si="4"/>
        <v>0</v>
      </c>
      <c r="DT4">
        <f t="shared" si="4"/>
        <v>0</v>
      </c>
      <c r="DU4">
        <f t="shared" si="4"/>
        <v>1</v>
      </c>
      <c r="DV4">
        <f t="shared" si="4"/>
        <v>0</v>
      </c>
      <c r="DW4">
        <f t="shared" si="4"/>
        <v>0</v>
      </c>
    </row>
    <row r="5" spans="1:127" x14ac:dyDescent="0.2">
      <c r="A5" s="20" t="s">
        <v>36</v>
      </c>
      <c r="B5" s="20" t="s">
        <v>53</v>
      </c>
      <c r="C5" s="20" t="s">
        <v>53</v>
      </c>
      <c r="D5" s="20" t="s">
        <v>53</v>
      </c>
      <c r="E5" s="20" t="s">
        <v>53</v>
      </c>
      <c r="F5" s="20" t="s">
        <v>53</v>
      </c>
      <c r="G5" s="20" t="s">
        <v>53</v>
      </c>
      <c r="H5" s="20" t="s">
        <v>53</v>
      </c>
      <c r="I5" s="20" t="s">
        <v>53</v>
      </c>
      <c r="J5" s="21" t="s">
        <v>53</v>
      </c>
      <c r="K5" s="20" t="s">
        <v>53</v>
      </c>
      <c r="L5" s="20" t="s">
        <v>53</v>
      </c>
      <c r="M5" s="20"/>
      <c r="N5" s="20" t="s">
        <v>53</v>
      </c>
      <c r="O5" s="20" t="s">
        <v>53</v>
      </c>
      <c r="P5" s="20" t="s">
        <v>53</v>
      </c>
      <c r="Q5" s="20" t="s">
        <v>53</v>
      </c>
      <c r="R5" s="20" t="s">
        <v>53</v>
      </c>
      <c r="U5" s="20" t="s">
        <v>53</v>
      </c>
      <c r="V5" s="20" t="s">
        <v>53</v>
      </c>
      <c r="W5" s="20" t="s">
        <v>53</v>
      </c>
      <c r="X5" s="20" t="s">
        <v>53</v>
      </c>
      <c r="Y5" s="20" t="s">
        <v>53</v>
      </c>
      <c r="Z5" s="20" t="s">
        <v>53</v>
      </c>
      <c r="AA5" s="20" t="s">
        <v>53</v>
      </c>
      <c r="AB5" s="20" t="s">
        <v>53</v>
      </c>
      <c r="AC5" s="20" t="s">
        <v>53</v>
      </c>
      <c r="AD5" s="20" t="s">
        <v>53</v>
      </c>
      <c r="AE5" s="20" t="s">
        <v>53</v>
      </c>
      <c r="AF5" s="20" t="s">
        <v>53</v>
      </c>
      <c r="AG5" s="20" t="s">
        <v>53</v>
      </c>
      <c r="AH5" s="20" t="s">
        <v>53</v>
      </c>
      <c r="AI5" s="20" t="s">
        <v>53</v>
      </c>
      <c r="AJ5" s="20"/>
      <c r="AK5" s="20" t="s">
        <v>53</v>
      </c>
      <c r="AM5">
        <f t="shared" si="5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0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0</v>
      </c>
      <c r="BC5">
        <f t="shared" si="0"/>
        <v>1</v>
      </c>
      <c r="BE5">
        <f t="shared" si="6"/>
        <v>0</v>
      </c>
      <c r="BF5">
        <f t="shared" si="1"/>
        <v>0</v>
      </c>
      <c r="BG5">
        <f t="shared" si="1"/>
        <v>0</v>
      </c>
      <c r="BH5">
        <f t="shared" si="1"/>
        <v>0</v>
      </c>
      <c r="BI5">
        <f t="shared" si="1"/>
        <v>0</v>
      </c>
      <c r="BJ5">
        <f t="shared" si="1"/>
        <v>0</v>
      </c>
      <c r="BK5">
        <f t="shared" si="1"/>
        <v>0</v>
      </c>
      <c r="BL5">
        <f t="shared" si="1"/>
        <v>0</v>
      </c>
      <c r="BM5">
        <f t="shared" si="1"/>
        <v>0</v>
      </c>
      <c r="BN5">
        <f t="shared" si="1"/>
        <v>0</v>
      </c>
      <c r="BO5">
        <f t="shared" si="1"/>
        <v>0</v>
      </c>
      <c r="BP5">
        <f t="shared" si="1"/>
        <v>0</v>
      </c>
      <c r="BQ5">
        <f t="shared" si="1"/>
        <v>0</v>
      </c>
      <c r="BR5">
        <f t="shared" si="1"/>
        <v>0</v>
      </c>
      <c r="BS5">
        <f t="shared" si="1"/>
        <v>0</v>
      </c>
      <c r="BT5">
        <f t="shared" si="1"/>
        <v>1</v>
      </c>
      <c r="BU5">
        <f t="shared" si="1"/>
        <v>0</v>
      </c>
      <c r="BW5">
        <f t="shared" si="7"/>
        <v>0</v>
      </c>
      <c r="BX5">
        <f t="shared" si="2"/>
        <v>0</v>
      </c>
      <c r="BY5">
        <f t="shared" si="2"/>
        <v>0</v>
      </c>
      <c r="BZ5">
        <f t="shared" si="2"/>
        <v>0</v>
      </c>
      <c r="CA5">
        <f t="shared" si="2"/>
        <v>0</v>
      </c>
      <c r="CB5">
        <f t="shared" si="2"/>
        <v>0</v>
      </c>
      <c r="CC5">
        <f t="shared" si="2"/>
        <v>0</v>
      </c>
      <c r="CD5">
        <f t="shared" si="2"/>
        <v>0</v>
      </c>
      <c r="CE5">
        <f t="shared" si="2"/>
        <v>0</v>
      </c>
      <c r="CF5">
        <f t="shared" si="2"/>
        <v>0</v>
      </c>
      <c r="CG5">
        <f t="shared" si="2"/>
        <v>0</v>
      </c>
      <c r="CH5">
        <f t="shared" si="2"/>
        <v>1</v>
      </c>
      <c r="CI5">
        <f t="shared" si="2"/>
        <v>0</v>
      </c>
      <c r="CJ5">
        <f t="shared" si="2"/>
        <v>0</v>
      </c>
      <c r="CK5">
        <f t="shared" si="2"/>
        <v>0</v>
      </c>
      <c r="CL5">
        <f t="shared" si="2"/>
        <v>0</v>
      </c>
      <c r="CM5">
        <f t="shared" si="2"/>
        <v>0</v>
      </c>
      <c r="CO5">
        <f t="shared" si="8"/>
        <v>1</v>
      </c>
      <c r="CP5">
        <f t="shared" si="3"/>
        <v>1</v>
      </c>
      <c r="CQ5">
        <f t="shared" si="3"/>
        <v>1</v>
      </c>
      <c r="CR5">
        <f t="shared" si="3"/>
        <v>1</v>
      </c>
      <c r="CS5">
        <f t="shared" si="3"/>
        <v>1</v>
      </c>
      <c r="CT5">
        <f t="shared" si="3"/>
        <v>1</v>
      </c>
      <c r="CU5">
        <f t="shared" si="3"/>
        <v>1</v>
      </c>
      <c r="CV5">
        <f t="shared" si="3"/>
        <v>1</v>
      </c>
      <c r="CW5">
        <f t="shared" si="3"/>
        <v>1</v>
      </c>
      <c r="CX5">
        <f t="shared" si="3"/>
        <v>1</v>
      </c>
      <c r="CY5">
        <f t="shared" si="3"/>
        <v>1</v>
      </c>
      <c r="CZ5">
        <f t="shared" si="3"/>
        <v>0</v>
      </c>
      <c r="DA5">
        <f t="shared" si="3"/>
        <v>1</v>
      </c>
      <c r="DB5">
        <f t="shared" si="3"/>
        <v>1</v>
      </c>
      <c r="DC5">
        <f t="shared" si="3"/>
        <v>1</v>
      </c>
      <c r="DD5">
        <f t="shared" si="3"/>
        <v>0</v>
      </c>
      <c r="DE5">
        <f t="shared" si="3"/>
        <v>1</v>
      </c>
      <c r="DG5">
        <f t="shared" si="9"/>
        <v>0</v>
      </c>
      <c r="DH5">
        <f t="shared" si="4"/>
        <v>0</v>
      </c>
      <c r="DI5">
        <f t="shared" si="4"/>
        <v>0</v>
      </c>
      <c r="DJ5">
        <f t="shared" si="4"/>
        <v>0</v>
      </c>
      <c r="DK5">
        <f t="shared" si="4"/>
        <v>0</v>
      </c>
      <c r="DL5">
        <f t="shared" si="4"/>
        <v>0</v>
      </c>
      <c r="DM5">
        <f t="shared" si="4"/>
        <v>0</v>
      </c>
      <c r="DN5">
        <f t="shared" si="4"/>
        <v>0</v>
      </c>
      <c r="DO5">
        <f t="shared" si="4"/>
        <v>0</v>
      </c>
      <c r="DP5">
        <f t="shared" si="4"/>
        <v>0</v>
      </c>
      <c r="DQ5">
        <f t="shared" si="4"/>
        <v>0</v>
      </c>
      <c r="DR5">
        <f t="shared" si="4"/>
        <v>0</v>
      </c>
      <c r="DS5">
        <f t="shared" si="4"/>
        <v>0</v>
      </c>
      <c r="DT5">
        <f t="shared" si="4"/>
        <v>0</v>
      </c>
      <c r="DU5">
        <f t="shared" si="4"/>
        <v>0</v>
      </c>
      <c r="DV5">
        <f t="shared" si="4"/>
        <v>0</v>
      </c>
      <c r="DW5">
        <f t="shared" si="4"/>
        <v>0</v>
      </c>
    </row>
    <row r="6" spans="1:127" x14ac:dyDescent="0.2">
      <c r="A6" s="20" t="s">
        <v>37</v>
      </c>
      <c r="B6" s="20" t="s">
        <v>53</v>
      </c>
      <c r="C6" s="20" t="s">
        <v>53</v>
      </c>
      <c r="D6" s="20" t="s">
        <v>53</v>
      </c>
      <c r="E6" s="20" t="s">
        <v>53</v>
      </c>
      <c r="F6" s="20" t="s">
        <v>53</v>
      </c>
      <c r="G6" s="20" t="s">
        <v>53</v>
      </c>
      <c r="H6" s="20" t="s">
        <v>53</v>
      </c>
      <c r="I6" s="20"/>
      <c r="J6" s="21" t="s">
        <v>53</v>
      </c>
      <c r="K6" s="20" t="s">
        <v>53</v>
      </c>
      <c r="L6" s="20" t="s">
        <v>53</v>
      </c>
      <c r="M6" s="20" t="s">
        <v>53</v>
      </c>
      <c r="N6" s="20" t="s">
        <v>53</v>
      </c>
      <c r="O6" s="20" t="s">
        <v>53</v>
      </c>
      <c r="P6" s="20" t="s">
        <v>53</v>
      </c>
      <c r="Q6" s="20" t="s">
        <v>53</v>
      </c>
      <c r="R6" s="20" t="s">
        <v>53</v>
      </c>
      <c r="U6" s="20" t="s">
        <v>53</v>
      </c>
      <c r="V6" s="20" t="s">
        <v>53</v>
      </c>
      <c r="W6" s="20" t="s">
        <v>53</v>
      </c>
      <c r="X6" s="20" t="s">
        <v>53</v>
      </c>
      <c r="Y6" s="20" t="s">
        <v>53</v>
      </c>
      <c r="Z6" s="20" t="s">
        <v>53</v>
      </c>
      <c r="AA6" s="20" t="s">
        <v>53</v>
      </c>
      <c r="AB6" s="20" t="s">
        <v>53</v>
      </c>
      <c r="AC6" s="20" t="s">
        <v>53</v>
      </c>
      <c r="AD6" s="20" t="s">
        <v>53</v>
      </c>
      <c r="AE6" s="20"/>
      <c r="AF6" s="20" t="s">
        <v>53</v>
      </c>
      <c r="AG6" s="20" t="s">
        <v>53</v>
      </c>
      <c r="AH6" s="20" t="s">
        <v>53</v>
      </c>
      <c r="AI6" s="20" t="s">
        <v>53</v>
      </c>
      <c r="AJ6" s="20" t="s">
        <v>53</v>
      </c>
      <c r="AK6" s="20" t="s">
        <v>53</v>
      </c>
      <c r="AM6">
        <f t="shared" si="5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0</v>
      </c>
      <c r="AU6">
        <f t="shared" si="0"/>
        <v>1</v>
      </c>
      <c r="AV6">
        <f t="shared" si="0"/>
        <v>1</v>
      </c>
      <c r="AW6">
        <f t="shared" si="0"/>
        <v>0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  <c r="BE6">
        <f t="shared" si="6"/>
        <v>0</v>
      </c>
      <c r="BF6">
        <f t="shared" si="1"/>
        <v>0</v>
      </c>
      <c r="BG6">
        <f t="shared" si="1"/>
        <v>0</v>
      </c>
      <c r="BH6">
        <f t="shared" si="1"/>
        <v>0</v>
      </c>
      <c r="BI6">
        <f t="shared" si="1"/>
        <v>0</v>
      </c>
      <c r="BJ6">
        <f t="shared" si="1"/>
        <v>0</v>
      </c>
      <c r="BK6">
        <f t="shared" si="1"/>
        <v>0</v>
      </c>
      <c r="BL6">
        <f t="shared" si="1"/>
        <v>0</v>
      </c>
      <c r="BM6">
        <f t="shared" si="1"/>
        <v>0</v>
      </c>
      <c r="BN6">
        <f t="shared" si="1"/>
        <v>0</v>
      </c>
      <c r="BO6">
        <f t="shared" si="1"/>
        <v>1</v>
      </c>
      <c r="BP6">
        <f t="shared" si="1"/>
        <v>0</v>
      </c>
      <c r="BQ6">
        <f t="shared" si="1"/>
        <v>0</v>
      </c>
      <c r="BR6">
        <f t="shared" si="1"/>
        <v>0</v>
      </c>
      <c r="BS6">
        <f t="shared" si="1"/>
        <v>0</v>
      </c>
      <c r="BT6">
        <f t="shared" si="1"/>
        <v>0</v>
      </c>
      <c r="BU6">
        <f t="shared" si="1"/>
        <v>0</v>
      </c>
      <c r="BW6">
        <f t="shared" si="7"/>
        <v>0</v>
      </c>
      <c r="BX6">
        <f t="shared" si="2"/>
        <v>0</v>
      </c>
      <c r="BY6">
        <f t="shared" si="2"/>
        <v>0</v>
      </c>
      <c r="BZ6">
        <f t="shared" si="2"/>
        <v>0</v>
      </c>
      <c r="CA6">
        <f t="shared" si="2"/>
        <v>0</v>
      </c>
      <c r="CB6">
        <f t="shared" si="2"/>
        <v>0</v>
      </c>
      <c r="CC6">
        <f t="shared" si="2"/>
        <v>0</v>
      </c>
      <c r="CD6">
        <f t="shared" si="2"/>
        <v>1</v>
      </c>
      <c r="CE6">
        <f t="shared" si="2"/>
        <v>0</v>
      </c>
      <c r="CF6">
        <f t="shared" si="2"/>
        <v>0</v>
      </c>
      <c r="CG6">
        <f t="shared" si="2"/>
        <v>0</v>
      </c>
      <c r="CH6">
        <f t="shared" si="2"/>
        <v>0</v>
      </c>
      <c r="CI6">
        <f t="shared" si="2"/>
        <v>0</v>
      </c>
      <c r="CJ6">
        <f t="shared" si="2"/>
        <v>0</v>
      </c>
      <c r="CK6">
        <f t="shared" si="2"/>
        <v>0</v>
      </c>
      <c r="CL6">
        <f t="shared" si="2"/>
        <v>0</v>
      </c>
      <c r="CM6">
        <f t="shared" si="2"/>
        <v>0</v>
      </c>
      <c r="CO6">
        <f t="shared" si="8"/>
        <v>1</v>
      </c>
      <c r="CP6">
        <f t="shared" si="3"/>
        <v>1</v>
      </c>
      <c r="CQ6">
        <f t="shared" si="3"/>
        <v>1</v>
      </c>
      <c r="CR6">
        <f t="shared" si="3"/>
        <v>1</v>
      </c>
      <c r="CS6">
        <f t="shared" si="3"/>
        <v>1</v>
      </c>
      <c r="CT6">
        <f t="shared" si="3"/>
        <v>1</v>
      </c>
      <c r="CU6">
        <f t="shared" si="3"/>
        <v>1</v>
      </c>
      <c r="CV6">
        <f t="shared" si="3"/>
        <v>0</v>
      </c>
      <c r="CW6">
        <f t="shared" si="3"/>
        <v>1</v>
      </c>
      <c r="CX6">
        <f t="shared" si="3"/>
        <v>1</v>
      </c>
      <c r="CY6">
        <f t="shared" si="3"/>
        <v>0</v>
      </c>
      <c r="CZ6">
        <f t="shared" si="3"/>
        <v>1</v>
      </c>
      <c r="DA6">
        <f t="shared" si="3"/>
        <v>1</v>
      </c>
      <c r="DB6">
        <f t="shared" si="3"/>
        <v>1</v>
      </c>
      <c r="DC6">
        <f t="shared" si="3"/>
        <v>1</v>
      </c>
      <c r="DD6">
        <f t="shared" si="3"/>
        <v>1</v>
      </c>
      <c r="DE6">
        <f t="shared" si="3"/>
        <v>1</v>
      </c>
      <c r="DG6">
        <f t="shared" si="9"/>
        <v>0</v>
      </c>
      <c r="DH6">
        <f t="shared" si="4"/>
        <v>0</v>
      </c>
      <c r="DI6">
        <f t="shared" si="4"/>
        <v>0</v>
      </c>
      <c r="DJ6">
        <f t="shared" si="4"/>
        <v>0</v>
      </c>
      <c r="DK6">
        <f t="shared" si="4"/>
        <v>0</v>
      </c>
      <c r="DL6">
        <f t="shared" si="4"/>
        <v>0</v>
      </c>
      <c r="DM6">
        <f t="shared" si="4"/>
        <v>0</v>
      </c>
      <c r="DN6">
        <f t="shared" si="4"/>
        <v>0</v>
      </c>
      <c r="DO6">
        <f t="shared" si="4"/>
        <v>0</v>
      </c>
      <c r="DP6">
        <f t="shared" si="4"/>
        <v>0</v>
      </c>
      <c r="DQ6">
        <f t="shared" si="4"/>
        <v>0</v>
      </c>
      <c r="DR6">
        <f t="shared" si="4"/>
        <v>0</v>
      </c>
      <c r="DS6">
        <f t="shared" si="4"/>
        <v>0</v>
      </c>
      <c r="DT6">
        <f t="shared" si="4"/>
        <v>0</v>
      </c>
      <c r="DU6">
        <f t="shared" si="4"/>
        <v>0</v>
      </c>
      <c r="DV6">
        <f t="shared" si="4"/>
        <v>0</v>
      </c>
      <c r="DW6">
        <f t="shared" si="4"/>
        <v>0</v>
      </c>
    </row>
    <row r="7" spans="1:127" x14ac:dyDescent="0.2">
      <c r="A7" s="20" t="s">
        <v>38</v>
      </c>
      <c r="B7" s="20" t="s">
        <v>53</v>
      </c>
      <c r="C7" s="20" t="s">
        <v>53</v>
      </c>
      <c r="D7" s="20" t="s">
        <v>53</v>
      </c>
      <c r="E7" s="20" t="s">
        <v>53</v>
      </c>
      <c r="F7" s="20" t="s">
        <v>53</v>
      </c>
      <c r="G7" s="20" t="s">
        <v>53</v>
      </c>
      <c r="H7" s="20" t="s">
        <v>53</v>
      </c>
      <c r="I7" s="20" t="s">
        <v>53</v>
      </c>
      <c r="J7" s="21" t="s">
        <v>53</v>
      </c>
      <c r="K7" s="20" t="s">
        <v>53</v>
      </c>
      <c r="L7" s="20"/>
      <c r="M7" s="20" t="s">
        <v>53</v>
      </c>
      <c r="N7" s="20" t="s">
        <v>53</v>
      </c>
      <c r="O7" s="20" t="s">
        <v>53</v>
      </c>
      <c r="P7" s="20" t="s">
        <v>53</v>
      </c>
      <c r="Q7" s="20"/>
      <c r="R7" s="20" t="s">
        <v>53</v>
      </c>
      <c r="U7" s="20" t="s">
        <v>53</v>
      </c>
      <c r="V7" s="20" t="s">
        <v>53</v>
      </c>
      <c r="W7" s="20" t="s">
        <v>53</v>
      </c>
      <c r="X7" s="20" t="s">
        <v>53</v>
      </c>
      <c r="Y7" s="20" t="s">
        <v>53</v>
      </c>
      <c r="Z7" s="20" t="s">
        <v>53</v>
      </c>
      <c r="AA7" s="20" t="s">
        <v>53</v>
      </c>
      <c r="AB7" s="20" t="s">
        <v>53</v>
      </c>
      <c r="AC7" s="20" t="s">
        <v>53</v>
      </c>
      <c r="AD7" s="20" t="s">
        <v>53</v>
      </c>
      <c r="AE7" s="20" t="s">
        <v>53</v>
      </c>
      <c r="AF7" s="20" t="s">
        <v>53</v>
      </c>
      <c r="AG7" s="20" t="s">
        <v>53</v>
      </c>
      <c r="AH7" s="20" t="s">
        <v>53</v>
      </c>
      <c r="AI7" s="20" t="s">
        <v>53</v>
      </c>
      <c r="AJ7" s="20"/>
      <c r="AK7" s="20" t="s">
        <v>53</v>
      </c>
      <c r="AM7">
        <f t="shared" si="5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0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E7">
        <f t="shared" si="6"/>
        <v>0</v>
      </c>
      <c r="BF7">
        <f t="shared" si="1"/>
        <v>0</v>
      </c>
      <c r="BG7">
        <f t="shared" si="1"/>
        <v>0</v>
      </c>
      <c r="BH7">
        <f t="shared" si="1"/>
        <v>0</v>
      </c>
      <c r="BI7">
        <f t="shared" si="1"/>
        <v>0</v>
      </c>
      <c r="BJ7">
        <f t="shared" si="1"/>
        <v>0</v>
      </c>
      <c r="BK7">
        <f t="shared" si="1"/>
        <v>0</v>
      </c>
      <c r="BL7">
        <f t="shared" si="1"/>
        <v>0</v>
      </c>
      <c r="BM7">
        <f t="shared" si="1"/>
        <v>0</v>
      </c>
      <c r="BN7">
        <f t="shared" si="1"/>
        <v>0</v>
      </c>
      <c r="BO7">
        <f t="shared" si="1"/>
        <v>0</v>
      </c>
      <c r="BP7">
        <f t="shared" si="1"/>
        <v>0</v>
      </c>
      <c r="BQ7">
        <f t="shared" si="1"/>
        <v>0</v>
      </c>
      <c r="BR7">
        <f t="shared" si="1"/>
        <v>0</v>
      </c>
      <c r="BS7">
        <f t="shared" si="1"/>
        <v>0</v>
      </c>
      <c r="BT7">
        <f t="shared" si="1"/>
        <v>0</v>
      </c>
      <c r="BU7">
        <f t="shared" si="1"/>
        <v>0</v>
      </c>
      <c r="BW7">
        <f t="shared" si="7"/>
        <v>0</v>
      </c>
      <c r="BX7">
        <f t="shared" si="2"/>
        <v>0</v>
      </c>
      <c r="BY7">
        <f t="shared" si="2"/>
        <v>0</v>
      </c>
      <c r="BZ7">
        <f t="shared" si="2"/>
        <v>0</v>
      </c>
      <c r="CA7">
        <f t="shared" si="2"/>
        <v>0</v>
      </c>
      <c r="CB7">
        <f t="shared" si="2"/>
        <v>0</v>
      </c>
      <c r="CC7">
        <f t="shared" si="2"/>
        <v>0</v>
      </c>
      <c r="CD7">
        <f t="shared" si="2"/>
        <v>0</v>
      </c>
      <c r="CE7">
        <f t="shared" si="2"/>
        <v>0</v>
      </c>
      <c r="CF7">
        <f t="shared" si="2"/>
        <v>0</v>
      </c>
      <c r="CG7">
        <f t="shared" si="2"/>
        <v>1</v>
      </c>
      <c r="CH7">
        <f t="shared" si="2"/>
        <v>0</v>
      </c>
      <c r="CI7">
        <f t="shared" si="2"/>
        <v>0</v>
      </c>
      <c r="CJ7">
        <f t="shared" si="2"/>
        <v>0</v>
      </c>
      <c r="CK7">
        <f t="shared" si="2"/>
        <v>0</v>
      </c>
      <c r="CL7">
        <f t="shared" si="2"/>
        <v>0</v>
      </c>
      <c r="CM7">
        <f t="shared" si="2"/>
        <v>0</v>
      </c>
      <c r="CO7">
        <f t="shared" si="8"/>
        <v>1</v>
      </c>
      <c r="CP7">
        <f t="shared" si="3"/>
        <v>1</v>
      </c>
      <c r="CQ7">
        <f t="shared" si="3"/>
        <v>1</v>
      </c>
      <c r="CR7">
        <f t="shared" si="3"/>
        <v>1</v>
      </c>
      <c r="CS7">
        <f t="shared" si="3"/>
        <v>1</v>
      </c>
      <c r="CT7">
        <f t="shared" si="3"/>
        <v>1</v>
      </c>
      <c r="CU7">
        <f t="shared" si="3"/>
        <v>1</v>
      </c>
      <c r="CV7">
        <f t="shared" si="3"/>
        <v>1</v>
      </c>
      <c r="CW7">
        <f t="shared" si="3"/>
        <v>1</v>
      </c>
      <c r="CX7">
        <f t="shared" si="3"/>
        <v>1</v>
      </c>
      <c r="CY7">
        <f t="shared" si="3"/>
        <v>0</v>
      </c>
      <c r="CZ7">
        <f t="shared" si="3"/>
        <v>1</v>
      </c>
      <c r="DA7">
        <f t="shared" si="3"/>
        <v>1</v>
      </c>
      <c r="DB7">
        <f t="shared" si="3"/>
        <v>1</v>
      </c>
      <c r="DC7">
        <f t="shared" si="3"/>
        <v>1</v>
      </c>
      <c r="DD7">
        <f t="shared" si="3"/>
        <v>0</v>
      </c>
      <c r="DE7">
        <f t="shared" si="3"/>
        <v>1</v>
      </c>
      <c r="DG7">
        <f t="shared" si="9"/>
        <v>0</v>
      </c>
      <c r="DH7">
        <f t="shared" si="4"/>
        <v>0</v>
      </c>
      <c r="DI7">
        <f t="shared" si="4"/>
        <v>0</v>
      </c>
      <c r="DJ7">
        <f t="shared" si="4"/>
        <v>0</v>
      </c>
      <c r="DK7">
        <f t="shared" si="4"/>
        <v>0</v>
      </c>
      <c r="DL7">
        <f t="shared" si="4"/>
        <v>0</v>
      </c>
      <c r="DM7">
        <f t="shared" si="4"/>
        <v>0</v>
      </c>
      <c r="DN7">
        <f t="shared" si="4"/>
        <v>0</v>
      </c>
      <c r="DO7">
        <f t="shared" si="4"/>
        <v>0</v>
      </c>
      <c r="DP7">
        <f t="shared" si="4"/>
        <v>0</v>
      </c>
      <c r="DQ7">
        <f t="shared" si="4"/>
        <v>0</v>
      </c>
      <c r="DR7">
        <f t="shared" si="4"/>
        <v>0</v>
      </c>
      <c r="DS7">
        <f t="shared" si="4"/>
        <v>0</v>
      </c>
      <c r="DT7">
        <f t="shared" si="4"/>
        <v>0</v>
      </c>
      <c r="DU7">
        <f t="shared" si="4"/>
        <v>0</v>
      </c>
      <c r="DV7">
        <f t="shared" si="4"/>
        <v>1</v>
      </c>
      <c r="DW7">
        <f t="shared" si="4"/>
        <v>0</v>
      </c>
    </row>
    <row r="8" spans="1:127" x14ac:dyDescent="0.2">
      <c r="A8" s="20" t="s">
        <v>39</v>
      </c>
      <c r="B8" s="20" t="s">
        <v>53</v>
      </c>
      <c r="C8" s="20" t="s">
        <v>53</v>
      </c>
      <c r="D8" s="20" t="s">
        <v>53</v>
      </c>
      <c r="E8" s="20" t="s">
        <v>53</v>
      </c>
      <c r="F8" s="20" t="s">
        <v>53</v>
      </c>
      <c r="G8" s="20" t="s">
        <v>53</v>
      </c>
      <c r="H8" s="20" t="s">
        <v>53</v>
      </c>
      <c r="I8" s="20" t="s">
        <v>53</v>
      </c>
      <c r="J8" s="21" t="s">
        <v>53</v>
      </c>
      <c r="K8" s="20" t="s">
        <v>53</v>
      </c>
      <c r="L8" s="20" t="s">
        <v>53</v>
      </c>
      <c r="M8" s="20"/>
      <c r="N8" s="20" t="s">
        <v>53</v>
      </c>
      <c r="O8" s="20" t="s">
        <v>53</v>
      </c>
      <c r="P8" s="20" t="s">
        <v>53</v>
      </c>
      <c r="Q8" s="20"/>
      <c r="R8" s="20" t="s">
        <v>53</v>
      </c>
      <c r="U8" s="20" t="s">
        <v>53</v>
      </c>
      <c r="V8" s="20" t="s">
        <v>53</v>
      </c>
      <c r="W8" s="20" t="s">
        <v>53</v>
      </c>
      <c r="X8" s="20" t="s">
        <v>53</v>
      </c>
      <c r="Y8" s="20" t="s">
        <v>53</v>
      </c>
      <c r="Z8" s="20" t="s">
        <v>53</v>
      </c>
      <c r="AA8" s="20" t="s">
        <v>53</v>
      </c>
      <c r="AB8" s="20" t="s">
        <v>53</v>
      </c>
      <c r="AC8" s="20" t="s">
        <v>53</v>
      </c>
      <c r="AD8" s="20" t="s">
        <v>53</v>
      </c>
      <c r="AE8" s="20" t="s">
        <v>53</v>
      </c>
      <c r="AF8" s="20" t="s">
        <v>53</v>
      </c>
      <c r="AG8" s="20" t="s">
        <v>53</v>
      </c>
      <c r="AH8" s="20" t="s">
        <v>53</v>
      </c>
      <c r="AI8" s="20" t="s">
        <v>53</v>
      </c>
      <c r="AJ8" s="20"/>
      <c r="AK8" s="20" t="s">
        <v>53</v>
      </c>
      <c r="AM8">
        <f t="shared" si="5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0</v>
      </c>
      <c r="AY8">
        <f t="shared" si="0"/>
        <v>1</v>
      </c>
      <c r="AZ8">
        <f t="shared" si="0"/>
        <v>1</v>
      </c>
      <c r="BA8">
        <f t="shared" si="0"/>
        <v>1</v>
      </c>
      <c r="BB8">
        <f t="shared" si="0"/>
        <v>1</v>
      </c>
      <c r="BC8">
        <f t="shared" si="0"/>
        <v>1</v>
      </c>
      <c r="BE8">
        <f t="shared" si="6"/>
        <v>0</v>
      </c>
      <c r="BF8">
        <f t="shared" si="1"/>
        <v>0</v>
      </c>
      <c r="BG8">
        <f t="shared" si="1"/>
        <v>0</v>
      </c>
      <c r="BH8">
        <f t="shared" si="1"/>
        <v>0</v>
      </c>
      <c r="BI8">
        <f t="shared" si="1"/>
        <v>0</v>
      </c>
      <c r="BJ8">
        <f t="shared" si="1"/>
        <v>0</v>
      </c>
      <c r="BK8">
        <f t="shared" si="1"/>
        <v>0</v>
      </c>
      <c r="BL8">
        <f t="shared" si="1"/>
        <v>0</v>
      </c>
      <c r="BM8">
        <f t="shared" si="1"/>
        <v>0</v>
      </c>
      <c r="BN8">
        <f t="shared" si="1"/>
        <v>0</v>
      </c>
      <c r="BO8">
        <f t="shared" si="1"/>
        <v>0</v>
      </c>
      <c r="BP8">
        <f t="shared" si="1"/>
        <v>0</v>
      </c>
      <c r="BQ8">
        <f t="shared" si="1"/>
        <v>0</v>
      </c>
      <c r="BR8">
        <f t="shared" si="1"/>
        <v>0</v>
      </c>
      <c r="BS8">
        <f t="shared" si="1"/>
        <v>0</v>
      </c>
      <c r="BT8">
        <f t="shared" si="1"/>
        <v>0</v>
      </c>
      <c r="BU8">
        <f t="shared" si="1"/>
        <v>0</v>
      </c>
      <c r="BW8">
        <f t="shared" si="7"/>
        <v>0</v>
      </c>
      <c r="BX8">
        <f t="shared" si="2"/>
        <v>0</v>
      </c>
      <c r="BY8">
        <f t="shared" si="2"/>
        <v>0</v>
      </c>
      <c r="BZ8">
        <f t="shared" si="2"/>
        <v>0</v>
      </c>
      <c r="CA8">
        <f t="shared" si="2"/>
        <v>0</v>
      </c>
      <c r="CB8">
        <f t="shared" si="2"/>
        <v>0</v>
      </c>
      <c r="CC8">
        <f t="shared" si="2"/>
        <v>0</v>
      </c>
      <c r="CD8">
        <f t="shared" si="2"/>
        <v>0</v>
      </c>
      <c r="CE8">
        <f t="shared" si="2"/>
        <v>0</v>
      </c>
      <c r="CF8">
        <f t="shared" si="2"/>
        <v>0</v>
      </c>
      <c r="CG8">
        <f t="shared" si="2"/>
        <v>0</v>
      </c>
      <c r="CH8">
        <f t="shared" si="2"/>
        <v>1</v>
      </c>
      <c r="CI8">
        <f t="shared" si="2"/>
        <v>0</v>
      </c>
      <c r="CJ8">
        <f t="shared" si="2"/>
        <v>0</v>
      </c>
      <c r="CK8">
        <f t="shared" si="2"/>
        <v>0</v>
      </c>
      <c r="CL8">
        <f t="shared" si="2"/>
        <v>0</v>
      </c>
      <c r="CM8">
        <f t="shared" si="2"/>
        <v>0</v>
      </c>
      <c r="CO8">
        <f t="shared" si="8"/>
        <v>1</v>
      </c>
      <c r="CP8">
        <f t="shared" si="3"/>
        <v>1</v>
      </c>
      <c r="CQ8">
        <f t="shared" si="3"/>
        <v>1</v>
      </c>
      <c r="CR8">
        <f t="shared" si="3"/>
        <v>1</v>
      </c>
      <c r="CS8">
        <f t="shared" si="3"/>
        <v>1</v>
      </c>
      <c r="CT8">
        <f t="shared" si="3"/>
        <v>1</v>
      </c>
      <c r="CU8">
        <f t="shared" si="3"/>
        <v>1</v>
      </c>
      <c r="CV8">
        <f t="shared" si="3"/>
        <v>1</v>
      </c>
      <c r="CW8">
        <f t="shared" si="3"/>
        <v>1</v>
      </c>
      <c r="CX8">
        <f t="shared" si="3"/>
        <v>1</v>
      </c>
      <c r="CY8">
        <f t="shared" si="3"/>
        <v>1</v>
      </c>
      <c r="CZ8">
        <f t="shared" si="3"/>
        <v>0</v>
      </c>
      <c r="DA8">
        <f t="shared" si="3"/>
        <v>1</v>
      </c>
      <c r="DB8">
        <f t="shared" si="3"/>
        <v>1</v>
      </c>
      <c r="DC8">
        <f t="shared" si="3"/>
        <v>1</v>
      </c>
      <c r="DD8">
        <f t="shared" si="3"/>
        <v>0</v>
      </c>
      <c r="DE8">
        <f t="shared" si="3"/>
        <v>1</v>
      </c>
      <c r="DG8">
        <f t="shared" si="9"/>
        <v>0</v>
      </c>
      <c r="DH8">
        <f t="shared" si="4"/>
        <v>0</v>
      </c>
      <c r="DI8">
        <f t="shared" si="4"/>
        <v>0</v>
      </c>
      <c r="DJ8">
        <f t="shared" si="4"/>
        <v>0</v>
      </c>
      <c r="DK8">
        <f t="shared" si="4"/>
        <v>0</v>
      </c>
      <c r="DL8">
        <f t="shared" si="4"/>
        <v>0</v>
      </c>
      <c r="DM8">
        <f t="shared" si="4"/>
        <v>0</v>
      </c>
      <c r="DN8">
        <f t="shared" si="4"/>
        <v>0</v>
      </c>
      <c r="DO8">
        <f t="shared" si="4"/>
        <v>0</v>
      </c>
      <c r="DP8">
        <f t="shared" si="4"/>
        <v>0</v>
      </c>
      <c r="DQ8">
        <f t="shared" si="4"/>
        <v>0</v>
      </c>
      <c r="DR8">
        <f t="shared" si="4"/>
        <v>0</v>
      </c>
      <c r="DS8">
        <f t="shared" si="4"/>
        <v>0</v>
      </c>
      <c r="DT8">
        <f t="shared" si="4"/>
        <v>0</v>
      </c>
      <c r="DU8">
        <f t="shared" si="4"/>
        <v>0</v>
      </c>
      <c r="DV8">
        <f t="shared" si="4"/>
        <v>1</v>
      </c>
      <c r="DW8">
        <f t="shared" si="4"/>
        <v>0</v>
      </c>
    </row>
    <row r="9" spans="1:127" x14ac:dyDescent="0.2">
      <c r="A9" s="20" t="s">
        <v>40</v>
      </c>
      <c r="B9" s="20" t="s">
        <v>53</v>
      </c>
      <c r="C9" s="20" t="s">
        <v>53</v>
      </c>
      <c r="D9" s="20" t="s">
        <v>53</v>
      </c>
      <c r="E9" s="20"/>
      <c r="F9" s="20"/>
      <c r="G9" s="20"/>
      <c r="H9" s="20" t="s">
        <v>53</v>
      </c>
      <c r="I9" s="20" t="s">
        <v>53</v>
      </c>
      <c r="J9" s="21" t="s">
        <v>53</v>
      </c>
      <c r="K9" s="20" t="s">
        <v>53</v>
      </c>
      <c r="L9" s="20"/>
      <c r="M9" s="20" t="s">
        <v>53</v>
      </c>
      <c r="N9" s="20" t="s">
        <v>53</v>
      </c>
      <c r="O9" s="20" t="s">
        <v>53</v>
      </c>
      <c r="P9" s="20" t="s">
        <v>53</v>
      </c>
      <c r="Q9" s="20" t="s">
        <v>53</v>
      </c>
      <c r="R9" s="20" t="s">
        <v>53</v>
      </c>
      <c r="U9" s="20" t="s">
        <v>53</v>
      </c>
      <c r="V9" s="20" t="s">
        <v>53</v>
      </c>
      <c r="W9" s="20" t="s">
        <v>53</v>
      </c>
      <c r="X9" s="20" t="s">
        <v>53</v>
      </c>
      <c r="Y9" s="20" t="s">
        <v>53</v>
      </c>
      <c r="Z9" s="20" t="s">
        <v>53</v>
      </c>
      <c r="AA9" s="20" t="s">
        <v>53</v>
      </c>
      <c r="AB9" s="20" t="s">
        <v>53</v>
      </c>
      <c r="AC9" s="20" t="s">
        <v>53</v>
      </c>
      <c r="AD9" s="20" t="s">
        <v>53</v>
      </c>
      <c r="AE9" s="20" t="s">
        <v>53</v>
      </c>
      <c r="AF9" s="20" t="s">
        <v>53</v>
      </c>
      <c r="AG9" s="20" t="s">
        <v>53</v>
      </c>
      <c r="AH9" s="20" t="s">
        <v>53</v>
      </c>
      <c r="AI9" s="20" t="s">
        <v>53</v>
      </c>
      <c r="AJ9" s="20" t="s">
        <v>53</v>
      </c>
      <c r="AK9" s="20" t="s">
        <v>53</v>
      </c>
      <c r="AM9">
        <f t="shared" si="5"/>
        <v>1</v>
      </c>
      <c r="AN9">
        <f t="shared" si="0"/>
        <v>1</v>
      </c>
      <c r="AO9">
        <f t="shared" si="0"/>
        <v>1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1</v>
      </c>
      <c r="AT9">
        <f t="shared" si="0"/>
        <v>1</v>
      </c>
      <c r="AU9">
        <f t="shared" si="0"/>
        <v>1</v>
      </c>
      <c r="AV9">
        <f t="shared" si="0"/>
        <v>1</v>
      </c>
      <c r="AW9">
        <f t="shared" si="0"/>
        <v>0</v>
      </c>
      <c r="AX9">
        <f t="shared" si="0"/>
        <v>1</v>
      </c>
      <c r="AY9">
        <f t="shared" si="0"/>
        <v>1</v>
      </c>
      <c r="AZ9">
        <f t="shared" si="0"/>
        <v>1</v>
      </c>
      <c r="BA9">
        <f t="shared" si="0"/>
        <v>1</v>
      </c>
      <c r="BB9">
        <f t="shared" si="0"/>
        <v>1</v>
      </c>
      <c r="BC9">
        <f t="shared" si="0"/>
        <v>1</v>
      </c>
      <c r="BE9">
        <f t="shared" si="6"/>
        <v>0</v>
      </c>
      <c r="BF9">
        <f t="shared" si="1"/>
        <v>0</v>
      </c>
      <c r="BG9">
        <f t="shared" si="1"/>
        <v>0</v>
      </c>
      <c r="BH9">
        <f t="shared" si="1"/>
        <v>0</v>
      </c>
      <c r="BI9">
        <f t="shared" si="1"/>
        <v>0</v>
      </c>
      <c r="BJ9">
        <f t="shared" si="1"/>
        <v>0</v>
      </c>
      <c r="BK9">
        <f t="shared" si="1"/>
        <v>0</v>
      </c>
      <c r="BL9">
        <f t="shared" si="1"/>
        <v>0</v>
      </c>
      <c r="BM9">
        <f t="shared" si="1"/>
        <v>0</v>
      </c>
      <c r="BN9">
        <f t="shared" si="1"/>
        <v>0</v>
      </c>
      <c r="BO9">
        <f t="shared" si="1"/>
        <v>0</v>
      </c>
      <c r="BP9">
        <f t="shared" si="1"/>
        <v>0</v>
      </c>
      <c r="BQ9">
        <f t="shared" si="1"/>
        <v>0</v>
      </c>
      <c r="BR9">
        <f t="shared" si="1"/>
        <v>0</v>
      </c>
      <c r="BS9">
        <f t="shared" si="1"/>
        <v>0</v>
      </c>
      <c r="BT9">
        <f t="shared" si="1"/>
        <v>0</v>
      </c>
      <c r="BU9">
        <f t="shared" si="1"/>
        <v>0</v>
      </c>
      <c r="BW9">
        <f t="shared" si="7"/>
        <v>0</v>
      </c>
      <c r="BX9">
        <f t="shared" si="2"/>
        <v>0</v>
      </c>
      <c r="BY9">
        <f t="shared" si="2"/>
        <v>0</v>
      </c>
      <c r="BZ9">
        <f t="shared" si="2"/>
        <v>1</v>
      </c>
      <c r="CA9">
        <f t="shared" si="2"/>
        <v>1</v>
      </c>
      <c r="CB9">
        <f t="shared" si="2"/>
        <v>1</v>
      </c>
      <c r="CC9">
        <f t="shared" si="2"/>
        <v>0</v>
      </c>
      <c r="CD9">
        <f t="shared" si="2"/>
        <v>0</v>
      </c>
      <c r="CE9">
        <f t="shared" si="2"/>
        <v>0</v>
      </c>
      <c r="CF9">
        <f t="shared" si="2"/>
        <v>0</v>
      </c>
      <c r="CG9">
        <f t="shared" si="2"/>
        <v>1</v>
      </c>
      <c r="CH9">
        <f t="shared" si="2"/>
        <v>0</v>
      </c>
      <c r="CI9">
        <f t="shared" si="2"/>
        <v>0</v>
      </c>
      <c r="CJ9">
        <f t="shared" si="2"/>
        <v>0</v>
      </c>
      <c r="CK9">
        <f t="shared" si="2"/>
        <v>0</v>
      </c>
      <c r="CL9">
        <f t="shared" si="2"/>
        <v>0</v>
      </c>
      <c r="CM9">
        <f t="shared" si="2"/>
        <v>0</v>
      </c>
      <c r="CO9">
        <f t="shared" si="8"/>
        <v>1</v>
      </c>
      <c r="CP9">
        <f t="shared" si="3"/>
        <v>1</v>
      </c>
      <c r="CQ9">
        <f t="shared" si="3"/>
        <v>1</v>
      </c>
      <c r="CR9">
        <f t="shared" si="3"/>
        <v>0</v>
      </c>
      <c r="CS9">
        <f t="shared" si="3"/>
        <v>0</v>
      </c>
      <c r="CT9">
        <f t="shared" si="3"/>
        <v>0</v>
      </c>
      <c r="CU9">
        <f t="shared" si="3"/>
        <v>1</v>
      </c>
      <c r="CV9">
        <f t="shared" si="3"/>
        <v>1</v>
      </c>
      <c r="CW9">
        <f t="shared" si="3"/>
        <v>1</v>
      </c>
      <c r="CX9">
        <f t="shared" si="3"/>
        <v>1</v>
      </c>
      <c r="CY9">
        <f t="shared" si="3"/>
        <v>0</v>
      </c>
      <c r="CZ9">
        <f t="shared" si="3"/>
        <v>1</v>
      </c>
      <c r="DA9">
        <f t="shared" si="3"/>
        <v>1</v>
      </c>
      <c r="DB9">
        <f t="shared" si="3"/>
        <v>1</v>
      </c>
      <c r="DC9">
        <f t="shared" si="3"/>
        <v>1</v>
      </c>
      <c r="DD9">
        <f t="shared" si="3"/>
        <v>1</v>
      </c>
      <c r="DE9">
        <f t="shared" si="3"/>
        <v>1</v>
      </c>
      <c r="DG9">
        <f t="shared" si="9"/>
        <v>0</v>
      </c>
      <c r="DH9">
        <f t="shared" si="4"/>
        <v>0</v>
      </c>
      <c r="DI9">
        <f t="shared" si="4"/>
        <v>0</v>
      </c>
      <c r="DJ9">
        <f t="shared" si="4"/>
        <v>0</v>
      </c>
      <c r="DK9">
        <f t="shared" si="4"/>
        <v>0</v>
      </c>
      <c r="DL9">
        <f t="shared" si="4"/>
        <v>0</v>
      </c>
      <c r="DM9">
        <f t="shared" si="4"/>
        <v>0</v>
      </c>
      <c r="DN9">
        <f t="shared" si="4"/>
        <v>0</v>
      </c>
      <c r="DO9">
        <f t="shared" si="4"/>
        <v>0</v>
      </c>
      <c r="DP9">
        <f t="shared" si="4"/>
        <v>0</v>
      </c>
      <c r="DQ9">
        <f t="shared" si="4"/>
        <v>0</v>
      </c>
      <c r="DR9">
        <f t="shared" si="4"/>
        <v>0</v>
      </c>
      <c r="DS9">
        <f t="shared" si="4"/>
        <v>0</v>
      </c>
      <c r="DT9">
        <f t="shared" si="4"/>
        <v>0</v>
      </c>
      <c r="DU9">
        <f t="shared" si="4"/>
        <v>0</v>
      </c>
      <c r="DV9">
        <f t="shared" si="4"/>
        <v>0</v>
      </c>
      <c r="DW9">
        <f t="shared" si="4"/>
        <v>0</v>
      </c>
    </row>
    <row r="10" spans="1:127" x14ac:dyDescent="0.2">
      <c r="A10" s="20" t="s">
        <v>41</v>
      </c>
      <c r="B10" s="20" t="s">
        <v>53</v>
      </c>
      <c r="C10" s="20" t="s">
        <v>53</v>
      </c>
      <c r="D10" s="20" t="s">
        <v>53</v>
      </c>
      <c r="E10" s="20" t="s">
        <v>53</v>
      </c>
      <c r="F10" s="20" t="s">
        <v>53</v>
      </c>
      <c r="G10" s="20"/>
      <c r="H10" s="20" t="s">
        <v>53</v>
      </c>
      <c r="I10" s="20" t="s">
        <v>53</v>
      </c>
      <c r="J10" s="21" t="s">
        <v>53</v>
      </c>
      <c r="K10" s="20" t="s">
        <v>53</v>
      </c>
      <c r="L10" s="20" t="s">
        <v>53</v>
      </c>
      <c r="M10" s="20" t="s">
        <v>53</v>
      </c>
      <c r="N10" s="20" t="s">
        <v>53</v>
      </c>
      <c r="O10" s="20" t="s">
        <v>53</v>
      </c>
      <c r="P10" s="20" t="s">
        <v>53</v>
      </c>
      <c r="Q10" s="20"/>
      <c r="R10" s="20" t="s">
        <v>53</v>
      </c>
      <c r="U10" s="20" t="s">
        <v>53</v>
      </c>
      <c r="V10" s="20" t="s">
        <v>53</v>
      </c>
      <c r="W10" s="20" t="s">
        <v>53</v>
      </c>
      <c r="X10" s="20" t="s">
        <v>53</v>
      </c>
      <c r="Y10" s="20" t="s">
        <v>53</v>
      </c>
      <c r="Z10" s="20" t="s">
        <v>53</v>
      </c>
      <c r="AA10" s="20" t="s">
        <v>53</v>
      </c>
      <c r="AB10" s="20" t="s">
        <v>53</v>
      </c>
      <c r="AC10" s="20" t="s">
        <v>53</v>
      </c>
      <c r="AD10" s="20" t="s">
        <v>53</v>
      </c>
      <c r="AE10" s="20" t="s">
        <v>53</v>
      </c>
      <c r="AF10" s="20" t="s">
        <v>53</v>
      </c>
      <c r="AG10" s="20" t="s">
        <v>53</v>
      </c>
      <c r="AH10" s="20" t="s">
        <v>53</v>
      </c>
      <c r="AI10" s="20" t="s">
        <v>53</v>
      </c>
      <c r="AJ10" s="20"/>
      <c r="AK10" s="20" t="s">
        <v>53</v>
      </c>
      <c r="AM10">
        <f t="shared" si="5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0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  <c r="BA10">
        <f t="shared" si="0"/>
        <v>1</v>
      </c>
      <c r="BB10">
        <f t="shared" si="0"/>
        <v>1</v>
      </c>
      <c r="BC10">
        <f t="shared" si="0"/>
        <v>1</v>
      </c>
      <c r="BE10">
        <f t="shared" si="6"/>
        <v>0</v>
      </c>
      <c r="BF10">
        <f t="shared" si="1"/>
        <v>0</v>
      </c>
      <c r="BG10">
        <f t="shared" si="1"/>
        <v>0</v>
      </c>
      <c r="BH10">
        <f t="shared" si="1"/>
        <v>0</v>
      </c>
      <c r="BI10">
        <f t="shared" si="1"/>
        <v>0</v>
      </c>
      <c r="BJ10">
        <f t="shared" si="1"/>
        <v>0</v>
      </c>
      <c r="BK10">
        <f t="shared" si="1"/>
        <v>0</v>
      </c>
      <c r="BL10">
        <f t="shared" si="1"/>
        <v>0</v>
      </c>
      <c r="BM10">
        <f t="shared" si="1"/>
        <v>0</v>
      </c>
      <c r="BN10">
        <f t="shared" si="1"/>
        <v>0</v>
      </c>
      <c r="BO10">
        <f t="shared" si="1"/>
        <v>0</v>
      </c>
      <c r="BP10">
        <f t="shared" si="1"/>
        <v>0</v>
      </c>
      <c r="BQ10">
        <f t="shared" si="1"/>
        <v>0</v>
      </c>
      <c r="BR10">
        <f t="shared" si="1"/>
        <v>0</v>
      </c>
      <c r="BS10">
        <f t="shared" si="1"/>
        <v>0</v>
      </c>
      <c r="BT10">
        <f t="shared" si="1"/>
        <v>0</v>
      </c>
      <c r="BU10">
        <f t="shared" si="1"/>
        <v>0</v>
      </c>
      <c r="BW10">
        <f t="shared" si="7"/>
        <v>0</v>
      </c>
      <c r="BX10">
        <f t="shared" si="2"/>
        <v>0</v>
      </c>
      <c r="BY10">
        <f t="shared" si="2"/>
        <v>0</v>
      </c>
      <c r="BZ10">
        <f t="shared" si="2"/>
        <v>0</v>
      </c>
      <c r="CA10">
        <f t="shared" si="2"/>
        <v>0</v>
      </c>
      <c r="CB10">
        <f t="shared" si="2"/>
        <v>1</v>
      </c>
      <c r="CC10">
        <f t="shared" si="2"/>
        <v>0</v>
      </c>
      <c r="CD10">
        <f t="shared" si="2"/>
        <v>0</v>
      </c>
      <c r="CE10">
        <f t="shared" si="2"/>
        <v>0</v>
      </c>
      <c r="CF10">
        <f t="shared" si="2"/>
        <v>0</v>
      </c>
      <c r="CG10">
        <f t="shared" si="2"/>
        <v>0</v>
      </c>
      <c r="CH10">
        <f t="shared" si="2"/>
        <v>0</v>
      </c>
      <c r="CI10">
        <f t="shared" si="2"/>
        <v>0</v>
      </c>
      <c r="CJ10">
        <f t="shared" si="2"/>
        <v>0</v>
      </c>
      <c r="CK10">
        <f t="shared" si="2"/>
        <v>0</v>
      </c>
      <c r="CL10">
        <f t="shared" si="2"/>
        <v>0</v>
      </c>
      <c r="CM10">
        <f t="shared" si="2"/>
        <v>0</v>
      </c>
      <c r="CO10">
        <f t="shared" si="8"/>
        <v>1</v>
      </c>
      <c r="CP10">
        <f t="shared" si="3"/>
        <v>1</v>
      </c>
      <c r="CQ10">
        <f t="shared" si="3"/>
        <v>1</v>
      </c>
      <c r="CR10">
        <f t="shared" si="3"/>
        <v>1</v>
      </c>
      <c r="CS10">
        <f t="shared" si="3"/>
        <v>1</v>
      </c>
      <c r="CT10">
        <f t="shared" si="3"/>
        <v>0</v>
      </c>
      <c r="CU10">
        <f t="shared" si="3"/>
        <v>1</v>
      </c>
      <c r="CV10">
        <f t="shared" si="3"/>
        <v>1</v>
      </c>
      <c r="CW10">
        <f t="shared" si="3"/>
        <v>1</v>
      </c>
      <c r="CX10">
        <f t="shared" si="3"/>
        <v>1</v>
      </c>
      <c r="CY10">
        <f t="shared" si="3"/>
        <v>1</v>
      </c>
      <c r="CZ10">
        <f t="shared" si="3"/>
        <v>1</v>
      </c>
      <c r="DA10">
        <f t="shared" si="3"/>
        <v>1</v>
      </c>
      <c r="DB10">
        <f t="shared" si="3"/>
        <v>1</v>
      </c>
      <c r="DC10">
        <f t="shared" si="3"/>
        <v>1</v>
      </c>
      <c r="DD10">
        <f t="shared" si="3"/>
        <v>0</v>
      </c>
      <c r="DE10">
        <f t="shared" si="3"/>
        <v>1</v>
      </c>
      <c r="DG10">
        <f t="shared" si="9"/>
        <v>0</v>
      </c>
      <c r="DH10">
        <f t="shared" si="4"/>
        <v>0</v>
      </c>
      <c r="DI10">
        <f t="shared" si="4"/>
        <v>0</v>
      </c>
      <c r="DJ10">
        <f t="shared" si="4"/>
        <v>0</v>
      </c>
      <c r="DK10">
        <f t="shared" si="4"/>
        <v>0</v>
      </c>
      <c r="DL10">
        <f t="shared" si="4"/>
        <v>0</v>
      </c>
      <c r="DM10">
        <f t="shared" si="4"/>
        <v>0</v>
      </c>
      <c r="DN10">
        <f t="shared" si="4"/>
        <v>0</v>
      </c>
      <c r="DO10">
        <f t="shared" si="4"/>
        <v>0</v>
      </c>
      <c r="DP10">
        <f t="shared" si="4"/>
        <v>0</v>
      </c>
      <c r="DQ10">
        <f t="shared" si="4"/>
        <v>0</v>
      </c>
      <c r="DR10">
        <f t="shared" si="4"/>
        <v>0</v>
      </c>
      <c r="DS10">
        <f t="shared" si="4"/>
        <v>0</v>
      </c>
      <c r="DT10">
        <f t="shared" si="4"/>
        <v>0</v>
      </c>
      <c r="DU10">
        <f t="shared" si="4"/>
        <v>0</v>
      </c>
      <c r="DV10">
        <f t="shared" si="4"/>
        <v>1</v>
      </c>
      <c r="DW10">
        <f t="shared" si="4"/>
        <v>0</v>
      </c>
    </row>
    <row r="11" spans="1:127" x14ac:dyDescent="0.2">
      <c r="A11" s="20" t="s">
        <v>107</v>
      </c>
      <c r="B11" s="20" t="s">
        <v>53</v>
      </c>
      <c r="C11" s="20" t="s">
        <v>53</v>
      </c>
      <c r="D11" s="20" t="s">
        <v>53</v>
      </c>
      <c r="E11" s="20" t="s">
        <v>53</v>
      </c>
      <c r="F11" s="20" t="s">
        <v>53</v>
      </c>
      <c r="G11" s="20" t="s">
        <v>53</v>
      </c>
      <c r="H11" s="20" t="s">
        <v>53</v>
      </c>
      <c r="I11" s="20"/>
      <c r="J11" s="21" t="s">
        <v>53</v>
      </c>
      <c r="K11" s="20" t="s">
        <v>53</v>
      </c>
      <c r="L11" s="20"/>
      <c r="M11" s="20" t="s">
        <v>53</v>
      </c>
      <c r="N11" s="20" t="s">
        <v>53</v>
      </c>
      <c r="O11" s="20"/>
      <c r="P11" s="20" t="s">
        <v>53</v>
      </c>
      <c r="Q11" s="20" t="s">
        <v>53</v>
      </c>
      <c r="R11" s="20" t="s">
        <v>53</v>
      </c>
      <c r="U11" s="20" t="s">
        <v>53</v>
      </c>
      <c r="V11" s="20" t="s">
        <v>53</v>
      </c>
      <c r="W11" s="20" t="s">
        <v>53</v>
      </c>
      <c r="X11" s="20" t="s">
        <v>53</v>
      </c>
      <c r="Y11" s="20" t="s">
        <v>53</v>
      </c>
      <c r="Z11" s="20" t="s">
        <v>53</v>
      </c>
      <c r="AA11" s="20" t="s">
        <v>53</v>
      </c>
      <c r="AB11" s="20" t="s">
        <v>53</v>
      </c>
      <c r="AC11" s="20" t="s">
        <v>53</v>
      </c>
      <c r="AD11" s="20" t="s">
        <v>53</v>
      </c>
      <c r="AE11" s="20"/>
      <c r="AF11" s="20" t="s">
        <v>53</v>
      </c>
      <c r="AG11" s="20" t="s">
        <v>53</v>
      </c>
      <c r="AH11" s="20" t="s">
        <v>53</v>
      </c>
      <c r="AI11" s="20" t="s">
        <v>53</v>
      </c>
      <c r="AJ11" s="20" t="s">
        <v>53</v>
      </c>
      <c r="AK11" s="20" t="s">
        <v>53</v>
      </c>
      <c r="AM11">
        <f t="shared" si="5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0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0</v>
      </c>
      <c r="BA11">
        <f t="shared" si="0"/>
        <v>1</v>
      </c>
      <c r="BB11">
        <f t="shared" si="0"/>
        <v>1</v>
      </c>
      <c r="BC11">
        <f t="shared" si="0"/>
        <v>1</v>
      </c>
      <c r="BE11">
        <f t="shared" si="6"/>
        <v>0</v>
      </c>
      <c r="BF11">
        <f t="shared" si="1"/>
        <v>0</v>
      </c>
      <c r="BG11">
        <f t="shared" si="1"/>
        <v>0</v>
      </c>
      <c r="BH11">
        <f t="shared" si="1"/>
        <v>0</v>
      </c>
      <c r="BI11">
        <f t="shared" si="1"/>
        <v>0</v>
      </c>
      <c r="BJ11">
        <f t="shared" si="1"/>
        <v>0</v>
      </c>
      <c r="BK11">
        <f t="shared" si="1"/>
        <v>0</v>
      </c>
      <c r="BL11">
        <f t="shared" si="1"/>
        <v>0</v>
      </c>
      <c r="BM11">
        <f t="shared" si="1"/>
        <v>0</v>
      </c>
      <c r="BN11">
        <f t="shared" si="1"/>
        <v>0</v>
      </c>
      <c r="BO11">
        <f t="shared" si="1"/>
        <v>0</v>
      </c>
      <c r="BP11">
        <f t="shared" si="1"/>
        <v>0</v>
      </c>
      <c r="BQ11">
        <f t="shared" si="1"/>
        <v>0</v>
      </c>
      <c r="BR11">
        <f t="shared" si="1"/>
        <v>0</v>
      </c>
      <c r="BS11">
        <f t="shared" si="1"/>
        <v>0</v>
      </c>
      <c r="BT11">
        <f t="shared" si="1"/>
        <v>0</v>
      </c>
      <c r="BU11">
        <f t="shared" si="1"/>
        <v>0</v>
      </c>
      <c r="BW11">
        <f t="shared" si="7"/>
        <v>0</v>
      </c>
      <c r="BX11">
        <f t="shared" si="2"/>
        <v>0</v>
      </c>
      <c r="BY11">
        <f t="shared" si="2"/>
        <v>0</v>
      </c>
      <c r="BZ11">
        <f t="shared" si="2"/>
        <v>0</v>
      </c>
      <c r="CA11">
        <f t="shared" si="2"/>
        <v>0</v>
      </c>
      <c r="CB11">
        <f t="shared" si="2"/>
        <v>0</v>
      </c>
      <c r="CC11">
        <f t="shared" si="2"/>
        <v>0</v>
      </c>
      <c r="CD11">
        <f t="shared" si="2"/>
        <v>1</v>
      </c>
      <c r="CE11">
        <f t="shared" si="2"/>
        <v>0</v>
      </c>
      <c r="CF11">
        <f t="shared" si="2"/>
        <v>0</v>
      </c>
      <c r="CG11">
        <f t="shared" si="2"/>
        <v>0</v>
      </c>
      <c r="CH11">
        <f t="shared" si="2"/>
        <v>0</v>
      </c>
      <c r="CI11">
        <f t="shared" si="2"/>
        <v>0</v>
      </c>
      <c r="CJ11">
        <f t="shared" si="2"/>
        <v>1</v>
      </c>
      <c r="CK11">
        <f t="shared" si="2"/>
        <v>0</v>
      </c>
      <c r="CL11">
        <f t="shared" si="2"/>
        <v>0</v>
      </c>
      <c r="CM11">
        <f t="shared" si="2"/>
        <v>0</v>
      </c>
      <c r="CO11">
        <f t="shared" si="8"/>
        <v>1</v>
      </c>
      <c r="CP11">
        <f t="shared" si="3"/>
        <v>1</v>
      </c>
      <c r="CQ11">
        <f t="shared" si="3"/>
        <v>1</v>
      </c>
      <c r="CR11">
        <f t="shared" si="3"/>
        <v>1</v>
      </c>
      <c r="CS11">
        <f t="shared" si="3"/>
        <v>1</v>
      </c>
      <c r="CT11">
        <f t="shared" si="3"/>
        <v>1</v>
      </c>
      <c r="CU11">
        <f t="shared" si="3"/>
        <v>1</v>
      </c>
      <c r="CV11">
        <f t="shared" si="3"/>
        <v>0</v>
      </c>
      <c r="CW11">
        <f t="shared" si="3"/>
        <v>1</v>
      </c>
      <c r="CX11">
        <f t="shared" si="3"/>
        <v>1</v>
      </c>
      <c r="CY11">
        <f t="shared" si="3"/>
        <v>0</v>
      </c>
      <c r="CZ11">
        <f t="shared" si="3"/>
        <v>1</v>
      </c>
      <c r="DA11">
        <f t="shared" si="3"/>
        <v>1</v>
      </c>
      <c r="DB11">
        <f t="shared" si="3"/>
        <v>0</v>
      </c>
      <c r="DC11">
        <f t="shared" si="3"/>
        <v>1</v>
      </c>
      <c r="DD11">
        <f t="shared" si="3"/>
        <v>1</v>
      </c>
      <c r="DE11">
        <f t="shared" si="3"/>
        <v>1</v>
      </c>
      <c r="DG11">
        <f t="shared" si="9"/>
        <v>0</v>
      </c>
      <c r="DH11">
        <f t="shared" si="4"/>
        <v>0</v>
      </c>
      <c r="DI11">
        <f t="shared" si="4"/>
        <v>0</v>
      </c>
      <c r="DJ11">
        <f t="shared" si="4"/>
        <v>0</v>
      </c>
      <c r="DK11">
        <f t="shared" si="4"/>
        <v>0</v>
      </c>
      <c r="DL11">
        <f t="shared" si="4"/>
        <v>0</v>
      </c>
      <c r="DM11">
        <f t="shared" si="4"/>
        <v>0</v>
      </c>
      <c r="DN11">
        <f t="shared" si="4"/>
        <v>0</v>
      </c>
      <c r="DO11">
        <f t="shared" si="4"/>
        <v>0</v>
      </c>
      <c r="DP11">
        <f t="shared" si="4"/>
        <v>0</v>
      </c>
      <c r="DQ11">
        <f t="shared" si="4"/>
        <v>1</v>
      </c>
      <c r="DR11">
        <f t="shared" si="4"/>
        <v>0</v>
      </c>
      <c r="DS11">
        <f t="shared" si="4"/>
        <v>0</v>
      </c>
      <c r="DT11">
        <f t="shared" si="4"/>
        <v>0</v>
      </c>
      <c r="DU11">
        <f t="shared" si="4"/>
        <v>0</v>
      </c>
      <c r="DV11">
        <f t="shared" si="4"/>
        <v>0</v>
      </c>
      <c r="DW11">
        <f t="shared" si="4"/>
        <v>0</v>
      </c>
    </row>
    <row r="12" spans="1:127" x14ac:dyDescent="0.2">
      <c r="A12" s="20" t="s">
        <v>44</v>
      </c>
      <c r="B12" s="20" t="s">
        <v>53</v>
      </c>
      <c r="C12" s="20" t="s">
        <v>53</v>
      </c>
      <c r="D12" s="20" t="s">
        <v>53</v>
      </c>
      <c r="E12" s="20" t="s">
        <v>53</v>
      </c>
      <c r="F12" s="20" t="s">
        <v>53</v>
      </c>
      <c r="G12" s="20" t="s">
        <v>53</v>
      </c>
      <c r="H12" s="20" t="s">
        <v>53</v>
      </c>
      <c r="I12" s="20" t="s">
        <v>53</v>
      </c>
      <c r="J12" s="21" t="s">
        <v>53</v>
      </c>
      <c r="K12" s="20" t="s">
        <v>53</v>
      </c>
      <c r="L12" s="20" t="s">
        <v>53</v>
      </c>
      <c r="M12" s="20" t="s">
        <v>53</v>
      </c>
      <c r="N12" s="20" t="s">
        <v>53</v>
      </c>
      <c r="O12" s="20" t="s">
        <v>53</v>
      </c>
      <c r="P12" s="20" t="s">
        <v>53</v>
      </c>
      <c r="Q12" s="20" t="s">
        <v>53</v>
      </c>
      <c r="R12" s="20" t="s">
        <v>53</v>
      </c>
      <c r="U12" s="20" t="s">
        <v>53</v>
      </c>
      <c r="V12" s="20" t="s">
        <v>53</v>
      </c>
      <c r="W12" s="20" t="s">
        <v>53</v>
      </c>
      <c r="X12" s="20" t="s">
        <v>53</v>
      </c>
      <c r="Y12" s="20" t="s">
        <v>53</v>
      </c>
      <c r="Z12" s="20" t="s">
        <v>53</v>
      </c>
      <c r="AA12" s="20" t="s">
        <v>53</v>
      </c>
      <c r="AB12" s="20" t="s">
        <v>53</v>
      </c>
      <c r="AC12" s="20" t="s">
        <v>53</v>
      </c>
      <c r="AD12" s="20" t="s">
        <v>53</v>
      </c>
      <c r="AE12" s="20" t="s">
        <v>53</v>
      </c>
      <c r="AF12" s="20" t="s">
        <v>53</v>
      </c>
      <c r="AG12" s="20" t="s">
        <v>53</v>
      </c>
      <c r="AH12" s="20" t="s">
        <v>53</v>
      </c>
      <c r="AI12" s="20" t="s">
        <v>53</v>
      </c>
      <c r="AJ12" s="20" t="s">
        <v>53</v>
      </c>
      <c r="AK12" s="20" t="s">
        <v>53</v>
      </c>
      <c r="AM12">
        <f t="shared" si="5"/>
        <v>1</v>
      </c>
      <c r="AN12">
        <f t="shared" si="0"/>
        <v>1</v>
      </c>
      <c r="AO12">
        <f t="shared" si="0"/>
        <v>1</v>
      </c>
      <c r="AP12">
        <f t="shared" si="0"/>
        <v>1</v>
      </c>
      <c r="AQ12">
        <f t="shared" si="0"/>
        <v>1</v>
      </c>
      <c r="AR12">
        <f t="shared" si="0"/>
        <v>1</v>
      </c>
      <c r="AS12">
        <f t="shared" si="0"/>
        <v>1</v>
      </c>
      <c r="AT12">
        <f t="shared" si="0"/>
        <v>1</v>
      </c>
      <c r="AU12">
        <f t="shared" si="0"/>
        <v>1</v>
      </c>
      <c r="AV12">
        <f t="shared" si="0"/>
        <v>1</v>
      </c>
      <c r="AW12">
        <f t="shared" si="0"/>
        <v>1</v>
      </c>
      <c r="AX12">
        <f t="shared" si="0"/>
        <v>1</v>
      </c>
      <c r="AY12">
        <f t="shared" si="0"/>
        <v>1</v>
      </c>
      <c r="AZ12">
        <f t="shared" si="0"/>
        <v>1</v>
      </c>
      <c r="BA12">
        <f t="shared" si="0"/>
        <v>1</v>
      </c>
      <c r="BB12">
        <f t="shared" si="0"/>
        <v>1</v>
      </c>
      <c r="BC12">
        <f t="shared" si="0"/>
        <v>1</v>
      </c>
      <c r="BE12">
        <f t="shared" si="6"/>
        <v>0</v>
      </c>
      <c r="BF12">
        <f t="shared" si="1"/>
        <v>0</v>
      </c>
      <c r="BG12">
        <f t="shared" si="1"/>
        <v>0</v>
      </c>
      <c r="BH12">
        <f t="shared" si="1"/>
        <v>0</v>
      </c>
      <c r="BI12">
        <f t="shared" si="1"/>
        <v>0</v>
      </c>
      <c r="BJ12">
        <f t="shared" si="1"/>
        <v>0</v>
      </c>
      <c r="BK12">
        <f t="shared" si="1"/>
        <v>0</v>
      </c>
      <c r="BL12">
        <f t="shared" si="1"/>
        <v>0</v>
      </c>
      <c r="BM12">
        <f t="shared" si="1"/>
        <v>0</v>
      </c>
      <c r="BN12">
        <f t="shared" si="1"/>
        <v>0</v>
      </c>
      <c r="BO12">
        <f t="shared" si="1"/>
        <v>0</v>
      </c>
      <c r="BP12">
        <f t="shared" si="1"/>
        <v>0</v>
      </c>
      <c r="BQ12">
        <f t="shared" si="1"/>
        <v>0</v>
      </c>
      <c r="BR12">
        <f t="shared" si="1"/>
        <v>0</v>
      </c>
      <c r="BS12">
        <f t="shared" si="1"/>
        <v>0</v>
      </c>
      <c r="BT12">
        <f t="shared" si="1"/>
        <v>0</v>
      </c>
      <c r="BU12">
        <f t="shared" si="1"/>
        <v>0</v>
      </c>
      <c r="BW12">
        <f t="shared" si="7"/>
        <v>0</v>
      </c>
      <c r="BX12">
        <f t="shared" si="2"/>
        <v>0</v>
      </c>
      <c r="BY12">
        <f t="shared" si="2"/>
        <v>0</v>
      </c>
      <c r="BZ12">
        <f t="shared" si="2"/>
        <v>0</v>
      </c>
      <c r="CA12">
        <f t="shared" si="2"/>
        <v>0</v>
      </c>
      <c r="CB12">
        <f t="shared" si="2"/>
        <v>0</v>
      </c>
      <c r="CC12">
        <f t="shared" si="2"/>
        <v>0</v>
      </c>
      <c r="CD12">
        <f t="shared" si="2"/>
        <v>0</v>
      </c>
      <c r="CE12">
        <f t="shared" si="2"/>
        <v>0</v>
      </c>
      <c r="CF12">
        <f t="shared" si="2"/>
        <v>0</v>
      </c>
      <c r="CG12">
        <f t="shared" si="2"/>
        <v>0</v>
      </c>
      <c r="CH12">
        <f t="shared" si="2"/>
        <v>0</v>
      </c>
      <c r="CI12">
        <f t="shared" si="2"/>
        <v>0</v>
      </c>
      <c r="CJ12">
        <f t="shared" si="2"/>
        <v>0</v>
      </c>
      <c r="CK12">
        <f t="shared" si="2"/>
        <v>0</v>
      </c>
      <c r="CL12">
        <f t="shared" si="2"/>
        <v>0</v>
      </c>
      <c r="CM12">
        <f t="shared" si="2"/>
        <v>0</v>
      </c>
      <c r="CO12">
        <f t="shared" si="8"/>
        <v>1</v>
      </c>
      <c r="CP12">
        <f t="shared" si="3"/>
        <v>1</v>
      </c>
      <c r="CQ12">
        <f t="shared" si="3"/>
        <v>1</v>
      </c>
      <c r="CR12">
        <f t="shared" si="3"/>
        <v>1</v>
      </c>
      <c r="CS12">
        <f t="shared" si="3"/>
        <v>1</v>
      </c>
      <c r="CT12">
        <f t="shared" si="3"/>
        <v>1</v>
      </c>
      <c r="CU12">
        <f t="shared" si="3"/>
        <v>1</v>
      </c>
      <c r="CV12">
        <f t="shared" si="3"/>
        <v>1</v>
      </c>
      <c r="CW12">
        <f t="shared" si="3"/>
        <v>1</v>
      </c>
      <c r="CX12">
        <f t="shared" si="3"/>
        <v>1</v>
      </c>
      <c r="CY12">
        <f t="shared" si="3"/>
        <v>1</v>
      </c>
      <c r="CZ12">
        <f t="shared" si="3"/>
        <v>1</v>
      </c>
      <c r="DA12">
        <f t="shared" si="3"/>
        <v>1</v>
      </c>
      <c r="DB12">
        <f t="shared" si="3"/>
        <v>1</v>
      </c>
      <c r="DC12">
        <f t="shared" si="3"/>
        <v>1</v>
      </c>
      <c r="DD12">
        <f t="shared" si="3"/>
        <v>1</v>
      </c>
      <c r="DE12">
        <f t="shared" si="3"/>
        <v>1</v>
      </c>
      <c r="DG12">
        <f t="shared" si="9"/>
        <v>0</v>
      </c>
      <c r="DH12">
        <f t="shared" si="4"/>
        <v>0</v>
      </c>
      <c r="DI12">
        <f t="shared" si="4"/>
        <v>0</v>
      </c>
      <c r="DJ12">
        <f t="shared" si="4"/>
        <v>0</v>
      </c>
      <c r="DK12">
        <f t="shared" si="4"/>
        <v>0</v>
      </c>
      <c r="DL12">
        <f t="shared" si="4"/>
        <v>0</v>
      </c>
      <c r="DM12">
        <f t="shared" si="4"/>
        <v>0</v>
      </c>
      <c r="DN12">
        <f t="shared" si="4"/>
        <v>0</v>
      </c>
      <c r="DO12">
        <f t="shared" si="4"/>
        <v>0</v>
      </c>
      <c r="DP12">
        <f t="shared" si="4"/>
        <v>0</v>
      </c>
      <c r="DQ12">
        <f t="shared" si="4"/>
        <v>0</v>
      </c>
      <c r="DR12">
        <f t="shared" si="4"/>
        <v>0</v>
      </c>
      <c r="DS12">
        <f t="shared" si="4"/>
        <v>0</v>
      </c>
      <c r="DT12">
        <f t="shared" si="4"/>
        <v>0</v>
      </c>
      <c r="DU12">
        <f t="shared" si="4"/>
        <v>0</v>
      </c>
      <c r="DV12">
        <f t="shared" si="4"/>
        <v>0</v>
      </c>
      <c r="DW12">
        <f t="shared" si="4"/>
        <v>0</v>
      </c>
    </row>
    <row r="13" spans="1:127" x14ac:dyDescent="0.2">
      <c r="A13" s="20" t="s">
        <v>46</v>
      </c>
      <c r="B13" s="20" t="s">
        <v>53</v>
      </c>
      <c r="C13" s="20" t="s">
        <v>53</v>
      </c>
      <c r="D13" s="20" t="s">
        <v>53</v>
      </c>
      <c r="E13" s="20" t="s">
        <v>53</v>
      </c>
      <c r="F13" s="20" t="s">
        <v>53</v>
      </c>
      <c r="G13" s="20" t="s">
        <v>53</v>
      </c>
      <c r="H13" s="20" t="s">
        <v>53</v>
      </c>
      <c r="I13" s="20" t="s">
        <v>53</v>
      </c>
      <c r="J13" s="21" t="s">
        <v>53</v>
      </c>
      <c r="K13" s="20" t="s">
        <v>53</v>
      </c>
      <c r="L13" s="20" t="s">
        <v>53</v>
      </c>
      <c r="M13" s="20" t="s">
        <v>53</v>
      </c>
      <c r="N13" s="20" t="s">
        <v>53</v>
      </c>
      <c r="O13" s="20"/>
      <c r="P13" s="20" t="s">
        <v>53</v>
      </c>
      <c r="Q13" s="20" t="s">
        <v>53</v>
      </c>
      <c r="R13" s="20" t="s">
        <v>53</v>
      </c>
      <c r="U13" s="20" t="s">
        <v>53</v>
      </c>
      <c r="V13" s="20" t="s">
        <v>53</v>
      </c>
      <c r="W13" s="20" t="s">
        <v>53</v>
      </c>
      <c r="X13" s="20" t="s">
        <v>53</v>
      </c>
      <c r="Y13" s="20" t="s">
        <v>53</v>
      </c>
      <c r="Z13" s="20" t="s">
        <v>53</v>
      </c>
      <c r="AA13" s="20" t="s">
        <v>53</v>
      </c>
      <c r="AB13" s="20" t="s">
        <v>53</v>
      </c>
      <c r="AC13" s="20" t="s">
        <v>53</v>
      </c>
      <c r="AD13" s="20" t="s">
        <v>53</v>
      </c>
      <c r="AE13" s="20" t="s">
        <v>53</v>
      </c>
      <c r="AF13" s="20" t="s">
        <v>53</v>
      </c>
      <c r="AG13" s="20" t="s">
        <v>53</v>
      </c>
      <c r="AH13" s="20"/>
      <c r="AI13" s="20" t="s">
        <v>53</v>
      </c>
      <c r="AJ13" s="20" t="s">
        <v>53</v>
      </c>
      <c r="AK13" s="20" t="s">
        <v>53</v>
      </c>
      <c r="AM13">
        <f t="shared" si="5"/>
        <v>1</v>
      </c>
      <c r="AN13">
        <f t="shared" si="0"/>
        <v>1</v>
      </c>
      <c r="AO13">
        <f t="shared" si="0"/>
        <v>1</v>
      </c>
      <c r="AP13">
        <f t="shared" si="0"/>
        <v>1</v>
      </c>
      <c r="AQ13">
        <f t="shared" si="0"/>
        <v>1</v>
      </c>
      <c r="AR13">
        <f t="shared" si="0"/>
        <v>1</v>
      </c>
      <c r="AS13">
        <f t="shared" si="0"/>
        <v>1</v>
      </c>
      <c r="AT13">
        <f t="shared" si="0"/>
        <v>1</v>
      </c>
      <c r="AU13">
        <f t="shared" si="0"/>
        <v>1</v>
      </c>
      <c r="AV13">
        <f t="shared" si="0"/>
        <v>1</v>
      </c>
      <c r="AW13">
        <f t="shared" si="0"/>
        <v>1</v>
      </c>
      <c r="AX13">
        <f t="shared" si="0"/>
        <v>1</v>
      </c>
      <c r="AY13">
        <f t="shared" si="0"/>
        <v>1</v>
      </c>
      <c r="AZ13">
        <f t="shared" si="0"/>
        <v>1</v>
      </c>
      <c r="BA13">
        <f t="shared" si="0"/>
        <v>1</v>
      </c>
      <c r="BB13">
        <f t="shared" si="0"/>
        <v>1</v>
      </c>
      <c r="BC13">
        <f t="shared" si="0"/>
        <v>1</v>
      </c>
      <c r="BE13">
        <f t="shared" si="6"/>
        <v>0</v>
      </c>
      <c r="BF13">
        <f t="shared" si="1"/>
        <v>0</v>
      </c>
      <c r="BG13">
        <f t="shared" si="1"/>
        <v>0</v>
      </c>
      <c r="BH13">
        <f t="shared" si="1"/>
        <v>0</v>
      </c>
      <c r="BI13">
        <f t="shared" si="1"/>
        <v>0</v>
      </c>
      <c r="BJ13">
        <f t="shared" si="1"/>
        <v>0</v>
      </c>
      <c r="BK13">
        <f t="shared" si="1"/>
        <v>0</v>
      </c>
      <c r="BL13">
        <f t="shared" si="1"/>
        <v>0</v>
      </c>
      <c r="BM13">
        <f t="shared" si="1"/>
        <v>0</v>
      </c>
      <c r="BN13">
        <f t="shared" si="1"/>
        <v>0</v>
      </c>
      <c r="BO13">
        <f t="shared" si="1"/>
        <v>0</v>
      </c>
      <c r="BP13">
        <f t="shared" si="1"/>
        <v>0</v>
      </c>
      <c r="BQ13">
        <f t="shared" si="1"/>
        <v>0</v>
      </c>
      <c r="BR13">
        <f t="shared" si="1"/>
        <v>0</v>
      </c>
      <c r="BS13">
        <f t="shared" si="1"/>
        <v>0</v>
      </c>
      <c r="BT13">
        <f t="shared" si="1"/>
        <v>0</v>
      </c>
      <c r="BU13">
        <f t="shared" si="1"/>
        <v>0</v>
      </c>
      <c r="BW13">
        <f t="shared" si="7"/>
        <v>0</v>
      </c>
      <c r="BX13">
        <f t="shared" si="2"/>
        <v>0</v>
      </c>
      <c r="BY13">
        <f t="shared" si="2"/>
        <v>0</v>
      </c>
      <c r="BZ13">
        <f t="shared" si="2"/>
        <v>0</v>
      </c>
      <c r="CA13">
        <f t="shared" si="2"/>
        <v>0</v>
      </c>
      <c r="CB13">
        <f t="shared" si="2"/>
        <v>0</v>
      </c>
      <c r="CC13">
        <f t="shared" si="2"/>
        <v>0</v>
      </c>
      <c r="CD13">
        <f t="shared" si="2"/>
        <v>0</v>
      </c>
      <c r="CE13">
        <f t="shared" si="2"/>
        <v>0</v>
      </c>
      <c r="CF13">
        <f t="shared" si="2"/>
        <v>0</v>
      </c>
      <c r="CG13">
        <f t="shared" si="2"/>
        <v>0</v>
      </c>
      <c r="CH13">
        <f t="shared" si="2"/>
        <v>0</v>
      </c>
      <c r="CI13">
        <f t="shared" si="2"/>
        <v>0</v>
      </c>
      <c r="CJ13">
        <f t="shared" si="2"/>
        <v>0</v>
      </c>
      <c r="CK13">
        <f t="shared" si="2"/>
        <v>0</v>
      </c>
      <c r="CL13">
        <f t="shared" si="2"/>
        <v>0</v>
      </c>
      <c r="CM13">
        <f t="shared" si="2"/>
        <v>0</v>
      </c>
      <c r="CO13">
        <f t="shared" si="8"/>
        <v>1</v>
      </c>
      <c r="CP13">
        <f t="shared" si="3"/>
        <v>1</v>
      </c>
      <c r="CQ13">
        <f t="shared" si="3"/>
        <v>1</v>
      </c>
      <c r="CR13">
        <f t="shared" si="3"/>
        <v>1</v>
      </c>
      <c r="CS13">
        <f t="shared" si="3"/>
        <v>1</v>
      </c>
      <c r="CT13">
        <f t="shared" si="3"/>
        <v>1</v>
      </c>
      <c r="CU13">
        <f t="shared" si="3"/>
        <v>1</v>
      </c>
      <c r="CV13">
        <f t="shared" si="3"/>
        <v>1</v>
      </c>
      <c r="CW13">
        <f t="shared" si="3"/>
        <v>1</v>
      </c>
      <c r="CX13">
        <f t="shared" si="3"/>
        <v>1</v>
      </c>
      <c r="CY13">
        <f t="shared" si="3"/>
        <v>1</v>
      </c>
      <c r="CZ13">
        <f t="shared" si="3"/>
        <v>1</v>
      </c>
      <c r="DA13">
        <f t="shared" si="3"/>
        <v>1</v>
      </c>
      <c r="DB13">
        <f t="shared" si="3"/>
        <v>0</v>
      </c>
      <c r="DC13">
        <f t="shared" si="3"/>
        <v>1</v>
      </c>
      <c r="DD13">
        <f t="shared" si="3"/>
        <v>1</v>
      </c>
      <c r="DE13">
        <f t="shared" si="3"/>
        <v>1</v>
      </c>
      <c r="DG13">
        <f t="shared" si="9"/>
        <v>0</v>
      </c>
      <c r="DH13">
        <f t="shared" si="4"/>
        <v>0</v>
      </c>
      <c r="DI13">
        <f t="shared" si="4"/>
        <v>0</v>
      </c>
      <c r="DJ13">
        <f t="shared" si="4"/>
        <v>0</v>
      </c>
      <c r="DK13">
        <f t="shared" si="4"/>
        <v>0</v>
      </c>
      <c r="DL13">
        <f t="shared" si="4"/>
        <v>0</v>
      </c>
      <c r="DM13">
        <f t="shared" si="4"/>
        <v>0</v>
      </c>
      <c r="DN13">
        <f t="shared" si="4"/>
        <v>0</v>
      </c>
      <c r="DO13">
        <f t="shared" si="4"/>
        <v>0</v>
      </c>
      <c r="DP13">
        <f t="shared" si="4"/>
        <v>0</v>
      </c>
      <c r="DQ13">
        <f t="shared" si="4"/>
        <v>0</v>
      </c>
      <c r="DR13">
        <f t="shared" si="4"/>
        <v>0</v>
      </c>
      <c r="DS13">
        <f t="shared" si="4"/>
        <v>0</v>
      </c>
      <c r="DT13">
        <f t="shared" si="4"/>
        <v>1</v>
      </c>
      <c r="DU13">
        <f t="shared" si="4"/>
        <v>0</v>
      </c>
      <c r="DV13">
        <f t="shared" si="4"/>
        <v>0</v>
      </c>
      <c r="DW13">
        <f t="shared" si="4"/>
        <v>0</v>
      </c>
    </row>
    <row r="14" spans="1:127" x14ac:dyDescent="0.2">
      <c r="A14" s="20" t="s">
        <v>48</v>
      </c>
      <c r="B14" s="20" t="s">
        <v>53</v>
      </c>
      <c r="C14" s="20" t="s">
        <v>53</v>
      </c>
      <c r="D14" s="20" t="s">
        <v>53</v>
      </c>
      <c r="E14" s="20" t="s">
        <v>53</v>
      </c>
      <c r="F14" s="20" t="s">
        <v>53</v>
      </c>
      <c r="G14" s="20" t="s">
        <v>53</v>
      </c>
      <c r="H14" s="20" t="s">
        <v>53</v>
      </c>
      <c r="I14" s="20" t="s">
        <v>53</v>
      </c>
      <c r="J14" s="21" t="s">
        <v>53</v>
      </c>
      <c r="K14" s="20" t="s">
        <v>53</v>
      </c>
      <c r="L14" s="20" t="s">
        <v>53</v>
      </c>
      <c r="M14" s="20" t="s">
        <v>53</v>
      </c>
      <c r="N14" s="20" t="s">
        <v>53</v>
      </c>
      <c r="O14" s="20" t="s">
        <v>53</v>
      </c>
      <c r="P14" s="20" t="s">
        <v>53</v>
      </c>
      <c r="Q14" s="20" t="s">
        <v>53</v>
      </c>
      <c r="R14" s="20"/>
      <c r="U14" s="20" t="s">
        <v>53</v>
      </c>
      <c r="V14" s="20" t="s">
        <v>53</v>
      </c>
      <c r="W14" s="20" t="s">
        <v>53</v>
      </c>
      <c r="X14" s="20" t="s">
        <v>53</v>
      </c>
      <c r="Y14" s="20" t="s">
        <v>53</v>
      </c>
      <c r="Z14" s="20" t="s">
        <v>53</v>
      </c>
      <c r="AA14" s="20" t="s">
        <v>53</v>
      </c>
      <c r="AB14" s="20" t="s">
        <v>53</v>
      </c>
      <c r="AC14" s="20" t="s">
        <v>53</v>
      </c>
      <c r="AD14" s="20" t="s">
        <v>53</v>
      </c>
      <c r="AE14" s="20" t="s">
        <v>53</v>
      </c>
      <c r="AF14" s="20" t="s">
        <v>53</v>
      </c>
      <c r="AG14" s="20" t="s">
        <v>53</v>
      </c>
      <c r="AH14" s="20" t="s">
        <v>53</v>
      </c>
      <c r="AI14" s="20" t="s">
        <v>53</v>
      </c>
      <c r="AJ14" s="20" t="s">
        <v>53</v>
      </c>
      <c r="AK14" s="20" t="s">
        <v>53</v>
      </c>
      <c r="AM14">
        <f t="shared" si="5"/>
        <v>1</v>
      </c>
      <c r="AN14">
        <f t="shared" si="0"/>
        <v>1</v>
      </c>
      <c r="AO14">
        <f t="shared" si="0"/>
        <v>1</v>
      </c>
      <c r="AP14">
        <f t="shared" si="0"/>
        <v>1</v>
      </c>
      <c r="AQ14">
        <f t="shared" si="0"/>
        <v>1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>
        <f t="shared" si="0"/>
        <v>1</v>
      </c>
      <c r="BA14">
        <f t="shared" si="0"/>
        <v>1</v>
      </c>
      <c r="BB14">
        <f t="shared" si="0"/>
        <v>1</v>
      </c>
      <c r="BC14">
        <f t="shared" si="0"/>
        <v>0</v>
      </c>
      <c r="BE14">
        <f t="shared" si="6"/>
        <v>0</v>
      </c>
      <c r="BF14">
        <f t="shared" si="1"/>
        <v>0</v>
      </c>
      <c r="BG14">
        <f t="shared" si="1"/>
        <v>0</v>
      </c>
      <c r="BH14">
        <f t="shared" si="1"/>
        <v>0</v>
      </c>
      <c r="BI14">
        <f t="shared" si="1"/>
        <v>0</v>
      </c>
      <c r="BJ14">
        <f t="shared" si="1"/>
        <v>0</v>
      </c>
      <c r="BK14">
        <f t="shared" si="1"/>
        <v>0</v>
      </c>
      <c r="BL14">
        <f t="shared" si="1"/>
        <v>0</v>
      </c>
      <c r="BM14">
        <f t="shared" si="1"/>
        <v>0</v>
      </c>
      <c r="BN14">
        <f t="shared" si="1"/>
        <v>0</v>
      </c>
      <c r="BO14">
        <f t="shared" si="1"/>
        <v>0</v>
      </c>
      <c r="BP14">
        <f t="shared" si="1"/>
        <v>0</v>
      </c>
      <c r="BQ14">
        <f t="shared" si="1"/>
        <v>0</v>
      </c>
      <c r="BR14">
        <f t="shared" si="1"/>
        <v>0</v>
      </c>
      <c r="BS14">
        <f t="shared" si="1"/>
        <v>0</v>
      </c>
      <c r="BT14">
        <f t="shared" si="1"/>
        <v>0</v>
      </c>
      <c r="BU14">
        <f t="shared" si="1"/>
        <v>0</v>
      </c>
      <c r="BW14">
        <f t="shared" si="7"/>
        <v>0</v>
      </c>
      <c r="BX14">
        <f t="shared" si="2"/>
        <v>0</v>
      </c>
      <c r="BY14">
        <f t="shared" si="2"/>
        <v>0</v>
      </c>
      <c r="BZ14">
        <f t="shared" si="2"/>
        <v>0</v>
      </c>
      <c r="CA14">
        <f t="shared" si="2"/>
        <v>0</v>
      </c>
      <c r="CB14">
        <f t="shared" si="2"/>
        <v>0</v>
      </c>
      <c r="CC14">
        <f t="shared" si="2"/>
        <v>0</v>
      </c>
      <c r="CD14">
        <f t="shared" si="2"/>
        <v>0</v>
      </c>
      <c r="CE14">
        <f t="shared" si="2"/>
        <v>0</v>
      </c>
      <c r="CF14">
        <f t="shared" si="2"/>
        <v>0</v>
      </c>
      <c r="CG14">
        <f t="shared" si="2"/>
        <v>0</v>
      </c>
      <c r="CH14">
        <f t="shared" si="2"/>
        <v>0</v>
      </c>
      <c r="CI14">
        <f t="shared" si="2"/>
        <v>0</v>
      </c>
      <c r="CJ14">
        <f t="shared" si="2"/>
        <v>0</v>
      </c>
      <c r="CK14">
        <f t="shared" si="2"/>
        <v>0</v>
      </c>
      <c r="CL14">
        <f t="shared" si="2"/>
        <v>0</v>
      </c>
      <c r="CM14">
        <f t="shared" si="2"/>
        <v>1</v>
      </c>
      <c r="CO14">
        <f t="shared" si="8"/>
        <v>1</v>
      </c>
      <c r="CP14">
        <f t="shared" si="3"/>
        <v>1</v>
      </c>
      <c r="CQ14">
        <f t="shared" si="3"/>
        <v>1</v>
      </c>
      <c r="CR14">
        <f t="shared" si="3"/>
        <v>1</v>
      </c>
      <c r="CS14">
        <f t="shared" si="3"/>
        <v>1</v>
      </c>
      <c r="CT14">
        <f t="shared" si="3"/>
        <v>1</v>
      </c>
      <c r="CU14">
        <f t="shared" si="3"/>
        <v>1</v>
      </c>
      <c r="CV14">
        <f t="shared" si="3"/>
        <v>1</v>
      </c>
      <c r="CW14">
        <f t="shared" si="3"/>
        <v>1</v>
      </c>
      <c r="CX14">
        <f t="shared" si="3"/>
        <v>1</v>
      </c>
      <c r="CY14">
        <f t="shared" si="3"/>
        <v>1</v>
      </c>
      <c r="CZ14">
        <f t="shared" si="3"/>
        <v>1</v>
      </c>
      <c r="DA14">
        <f t="shared" si="3"/>
        <v>1</v>
      </c>
      <c r="DB14">
        <f t="shared" si="3"/>
        <v>1</v>
      </c>
      <c r="DC14">
        <f t="shared" si="3"/>
        <v>1</v>
      </c>
      <c r="DD14">
        <f t="shared" si="3"/>
        <v>1</v>
      </c>
      <c r="DE14">
        <f t="shared" si="3"/>
        <v>0</v>
      </c>
      <c r="DG14">
        <f t="shared" si="9"/>
        <v>0</v>
      </c>
      <c r="DH14">
        <f t="shared" si="4"/>
        <v>0</v>
      </c>
      <c r="DI14">
        <f t="shared" si="4"/>
        <v>0</v>
      </c>
      <c r="DJ14">
        <f t="shared" si="4"/>
        <v>0</v>
      </c>
      <c r="DK14">
        <f t="shared" si="4"/>
        <v>0</v>
      </c>
      <c r="DL14">
        <f t="shared" si="4"/>
        <v>0</v>
      </c>
      <c r="DM14">
        <f t="shared" si="4"/>
        <v>0</v>
      </c>
      <c r="DN14">
        <f t="shared" si="4"/>
        <v>0</v>
      </c>
      <c r="DO14">
        <f t="shared" si="4"/>
        <v>0</v>
      </c>
      <c r="DP14">
        <f t="shared" si="4"/>
        <v>0</v>
      </c>
      <c r="DQ14">
        <f t="shared" si="4"/>
        <v>0</v>
      </c>
      <c r="DR14">
        <f t="shared" si="4"/>
        <v>0</v>
      </c>
      <c r="DS14">
        <f t="shared" si="4"/>
        <v>0</v>
      </c>
      <c r="DT14">
        <f t="shared" si="4"/>
        <v>0</v>
      </c>
      <c r="DU14">
        <f t="shared" si="4"/>
        <v>0</v>
      </c>
      <c r="DV14">
        <f t="shared" si="4"/>
        <v>0</v>
      </c>
      <c r="DW14">
        <f t="shared" si="4"/>
        <v>0</v>
      </c>
    </row>
    <row r="15" spans="1:127" x14ac:dyDescent="0.2">
      <c r="A15" s="20" t="s">
        <v>51</v>
      </c>
      <c r="B15" s="20" t="s">
        <v>53</v>
      </c>
      <c r="C15" s="20" t="s">
        <v>53</v>
      </c>
      <c r="D15" s="20" t="s">
        <v>53</v>
      </c>
      <c r="E15" s="20"/>
      <c r="F15" s="20"/>
      <c r="G15" s="20" t="s">
        <v>53</v>
      </c>
      <c r="H15" s="20" t="s">
        <v>53</v>
      </c>
      <c r="I15" s="20" t="s">
        <v>53</v>
      </c>
      <c r="J15" s="21" t="s">
        <v>53</v>
      </c>
      <c r="K15" s="20" t="s">
        <v>53</v>
      </c>
      <c r="L15" s="20" t="s">
        <v>53</v>
      </c>
      <c r="M15" s="20" t="s">
        <v>53</v>
      </c>
      <c r="N15" s="20" t="s">
        <v>53</v>
      </c>
      <c r="O15" s="20" t="s">
        <v>53</v>
      </c>
      <c r="P15" s="20" t="s">
        <v>53</v>
      </c>
      <c r="Q15" s="20"/>
      <c r="R15" s="20" t="s">
        <v>53</v>
      </c>
      <c r="U15" s="20" t="s">
        <v>53</v>
      </c>
      <c r="V15" s="20" t="s">
        <v>53</v>
      </c>
      <c r="W15" s="20" t="s">
        <v>53</v>
      </c>
      <c r="X15" s="20"/>
      <c r="Y15" s="20" t="s">
        <v>53</v>
      </c>
      <c r="Z15" s="20" t="s">
        <v>53</v>
      </c>
      <c r="AA15" s="20" t="s">
        <v>53</v>
      </c>
      <c r="AB15" s="20" t="s">
        <v>53</v>
      </c>
      <c r="AC15" s="20" t="s">
        <v>53</v>
      </c>
      <c r="AD15" s="20" t="s">
        <v>53</v>
      </c>
      <c r="AE15" s="20" t="s">
        <v>53</v>
      </c>
      <c r="AF15" s="20" t="s">
        <v>53</v>
      </c>
      <c r="AG15" s="20" t="s">
        <v>53</v>
      </c>
      <c r="AH15" s="20" t="s">
        <v>53</v>
      </c>
      <c r="AI15" s="20" t="s">
        <v>53</v>
      </c>
      <c r="AJ15" s="20"/>
      <c r="AK15" s="20" t="s">
        <v>53</v>
      </c>
      <c r="AM15">
        <f t="shared" si="5"/>
        <v>1</v>
      </c>
      <c r="AN15">
        <f t="shared" si="0"/>
        <v>1</v>
      </c>
      <c r="AO15">
        <f t="shared" si="0"/>
        <v>1</v>
      </c>
      <c r="AP15">
        <f t="shared" si="0"/>
        <v>1</v>
      </c>
      <c r="AQ15">
        <f t="shared" si="0"/>
        <v>0</v>
      </c>
      <c r="AR15">
        <f t="shared" si="0"/>
        <v>1</v>
      </c>
      <c r="AS15">
        <f t="shared" si="0"/>
        <v>1</v>
      </c>
      <c r="AT15">
        <f t="shared" si="0"/>
        <v>1</v>
      </c>
      <c r="AU15">
        <f t="shared" si="0"/>
        <v>1</v>
      </c>
      <c r="AV15">
        <f t="shared" si="0"/>
        <v>1</v>
      </c>
      <c r="AW15">
        <f t="shared" si="0"/>
        <v>1</v>
      </c>
      <c r="AX15">
        <f t="shared" si="0"/>
        <v>1</v>
      </c>
      <c r="AY15">
        <f t="shared" si="0"/>
        <v>1</v>
      </c>
      <c r="AZ15">
        <f t="shared" si="0"/>
        <v>1</v>
      </c>
      <c r="BA15">
        <f t="shared" si="0"/>
        <v>1</v>
      </c>
      <c r="BB15">
        <f t="shared" si="0"/>
        <v>1</v>
      </c>
      <c r="BC15">
        <f t="shared" si="0"/>
        <v>1</v>
      </c>
      <c r="BE15">
        <f t="shared" si="6"/>
        <v>0</v>
      </c>
      <c r="BF15">
        <f t="shared" si="1"/>
        <v>0</v>
      </c>
      <c r="BG15">
        <f t="shared" si="1"/>
        <v>0</v>
      </c>
      <c r="BH15">
        <f t="shared" si="1"/>
        <v>0</v>
      </c>
      <c r="BI15">
        <f t="shared" si="1"/>
        <v>0</v>
      </c>
      <c r="BJ15">
        <f t="shared" si="1"/>
        <v>0</v>
      </c>
      <c r="BK15">
        <f t="shared" si="1"/>
        <v>0</v>
      </c>
      <c r="BL15">
        <f t="shared" si="1"/>
        <v>0</v>
      </c>
      <c r="BM15">
        <f t="shared" si="1"/>
        <v>0</v>
      </c>
      <c r="BN15">
        <f t="shared" si="1"/>
        <v>0</v>
      </c>
      <c r="BO15">
        <f t="shared" si="1"/>
        <v>0</v>
      </c>
      <c r="BP15">
        <f t="shared" si="1"/>
        <v>0</v>
      </c>
      <c r="BQ15">
        <f t="shared" si="1"/>
        <v>0</v>
      </c>
      <c r="BR15">
        <f t="shared" si="1"/>
        <v>0</v>
      </c>
      <c r="BS15">
        <f t="shared" si="1"/>
        <v>0</v>
      </c>
      <c r="BT15">
        <f t="shared" si="1"/>
        <v>0</v>
      </c>
      <c r="BU15">
        <f t="shared" si="1"/>
        <v>0</v>
      </c>
      <c r="BW15">
        <f t="shared" si="7"/>
        <v>0</v>
      </c>
      <c r="BX15">
        <f t="shared" si="2"/>
        <v>0</v>
      </c>
      <c r="BY15">
        <f t="shared" si="2"/>
        <v>0</v>
      </c>
      <c r="BZ15">
        <f t="shared" si="2"/>
        <v>0</v>
      </c>
      <c r="CA15">
        <f t="shared" si="2"/>
        <v>1</v>
      </c>
      <c r="CB15">
        <f t="shared" si="2"/>
        <v>0</v>
      </c>
      <c r="CC15">
        <f t="shared" si="2"/>
        <v>0</v>
      </c>
      <c r="CD15">
        <f t="shared" si="2"/>
        <v>0</v>
      </c>
      <c r="CE15">
        <f t="shared" si="2"/>
        <v>0</v>
      </c>
      <c r="CF15">
        <f t="shared" si="2"/>
        <v>0</v>
      </c>
      <c r="CG15">
        <f t="shared" si="2"/>
        <v>0</v>
      </c>
      <c r="CH15">
        <f t="shared" si="2"/>
        <v>0</v>
      </c>
      <c r="CI15">
        <f t="shared" si="2"/>
        <v>0</v>
      </c>
      <c r="CJ15">
        <f t="shared" si="2"/>
        <v>0</v>
      </c>
      <c r="CK15">
        <f t="shared" si="2"/>
        <v>0</v>
      </c>
      <c r="CL15">
        <f t="shared" si="2"/>
        <v>0</v>
      </c>
      <c r="CM15">
        <f t="shared" si="2"/>
        <v>0</v>
      </c>
      <c r="CO15">
        <f t="shared" si="8"/>
        <v>1</v>
      </c>
      <c r="CP15">
        <f t="shared" si="3"/>
        <v>1</v>
      </c>
      <c r="CQ15">
        <f t="shared" si="3"/>
        <v>1</v>
      </c>
      <c r="CR15">
        <f t="shared" si="3"/>
        <v>0</v>
      </c>
      <c r="CS15">
        <f t="shared" si="3"/>
        <v>0</v>
      </c>
      <c r="CT15">
        <f t="shared" si="3"/>
        <v>1</v>
      </c>
      <c r="CU15">
        <f t="shared" si="3"/>
        <v>1</v>
      </c>
      <c r="CV15">
        <f t="shared" si="3"/>
        <v>1</v>
      </c>
      <c r="CW15">
        <f t="shared" si="3"/>
        <v>1</v>
      </c>
      <c r="CX15">
        <f t="shared" si="3"/>
        <v>1</v>
      </c>
      <c r="CY15">
        <f t="shared" si="3"/>
        <v>1</v>
      </c>
      <c r="CZ15">
        <f t="shared" si="3"/>
        <v>1</v>
      </c>
      <c r="DA15">
        <f t="shared" si="3"/>
        <v>1</v>
      </c>
      <c r="DB15">
        <f t="shared" si="3"/>
        <v>1</v>
      </c>
      <c r="DC15">
        <f t="shared" si="3"/>
        <v>1</v>
      </c>
      <c r="DD15">
        <f t="shared" si="3"/>
        <v>0</v>
      </c>
      <c r="DE15">
        <f t="shared" si="3"/>
        <v>1</v>
      </c>
      <c r="DG15">
        <f t="shared" si="9"/>
        <v>0</v>
      </c>
      <c r="DH15">
        <f t="shared" si="4"/>
        <v>0</v>
      </c>
      <c r="DI15">
        <f t="shared" si="4"/>
        <v>0</v>
      </c>
      <c r="DJ15">
        <f t="shared" si="4"/>
        <v>1</v>
      </c>
      <c r="DK15">
        <f t="shared" si="4"/>
        <v>0</v>
      </c>
      <c r="DL15">
        <f t="shared" si="4"/>
        <v>0</v>
      </c>
      <c r="DM15">
        <f t="shared" si="4"/>
        <v>0</v>
      </c>
      <c r="DN15">
        <f t="shared" si="4"/>
        <v>0</v>
      </c>
      <c r="DO15">
        <f t="shared" si="4"/>
        <v>0</v>
      </c>
      <c r="DP15">
        <f t="shared" si="4"/>
        <v>0</v>
      </c>
      <c r="DQ15">
        <f t="shared" si="4"/>
        <v>0</v>
      </c>
      <c r="DR15">
        <f t="shared" si="4"/>
        <v>0</v>
      </c>
      <c r="DS15">
        <f t="shared" si="4"/>
        <v>0</v>
      </c>
      <c r="DT15">
        <f t="shared" si="4"/>
        <v>0</v>
      </c>
      <c r="DU15">
        <f t="shared" si="4"/>
        <v>0</v>
      </c>
      <c r="DV15">
        <f t="shared" si="4"/>
        <v>1</v>
      </c>
      <c r="DW15">
        <f t="shared" si="4"/>
        <v>0</v>
      </c>
    </row>
    <row r="16" spans="1:127" x14ac:dyDescent="0.2">
      <c r="A16" s="20" t="s">
        <v>52</v>
      </c>
      <c r="B16" s="20" t="s">
        <v>53</v>
      </c>
      <c r="C16" s="20"/>
      <c r="D16" s="20"/>
      <c r="E16" s="20"/>
      <c r="F16" s="20"/>
      <c r="G16" s="20"/>
      <c r="H16" s="20" t="s">
        <v>53</v>
      </c>
      <c r="I16" s="20" t="s">
        <v>53</v>
      </c>
      <c r="J16" s="21" t="s">
        <v>53</v>
      </c>
      <c r="K16" s="20" t="s">
        <v>53</v>
      </c>
      <c r="L16" s="20" t="s">
        <v>53</v>
      </c>
      <c r="M16" s="20" t="s">
        <v>53</v>
      </c>
      <c r="N16" s="20" t="s">
        <v>53</v>
      </c>
      <c r="O16" s="20"/>
      <c r="P16" s="20" t="s">
        <v>53</v>
      </c>
      <c r="Q16" s="20"/>
      <c r="R16" s="20" t="s">
        <v>53</v>
      </c>
      <c r="U16" s="20" t="s">
        <v>53</v>
      </c>
      <c r="V16" s="20" t="s">
        <v>53</v>
      </c>
      <c r="W16" s="20" t="s">
        <v>53</v>
      </c>
      <c r="X16" s="20"/>
      <c r="Y16" s="20" t="s">
        <v>53</v>
      </c>
      <c r="Z16" s="20" t="s">
        <v>53</v>
      </c>
      <c r="AA16" s="20" t="s">
        <v>53</v>
      </c>
      <c r="AB16" s="20" t="s">
        <v>53</v>
      </c>
      <c r="AC16" s="20" t="s">
        <v>53</v>
      </c>
      <c r="AD16" s="20" t="s">
        <v>53</v>
      </c>
      <c r="AE16" s="20" t="s">
        <v>53</v>
      </c>
      <c r="AF16" s="20" t="s">
        <v>53</v>
      </c>
      <c r="AG16" s="20" t="s">
        <v>53</v>
      </c>
      <c r="AH16" s="20"/>
      <c r="AI16" s="20" t="s">
        <v>53</v>
      </c>
      <c r="AJ16" s="20" t="s">
        <v>53</v>
      </c>
      <c r="AK16" s="20" t="s">
        <v>53</v>
      </c>
      <c r="AM16">
        <f t="shared" si="5"/>
        <v>1</v>
      </c>
      <c r="AN16">
        <f t="shared" si="0"/>
        <v>0</v>
      </c>
      <c r="AO16">
        <f t="shared" si="0"/>
        <v>0</v>
      </c>
      <c r="AP16">
        <f t="shared" si="0"/>
        <v>1</v>
      </c>
      <c r="AQ16">
        <f t="shared" si="0"/>
        <v>0</v>
      </c>
      <c r="AR16">
        <f t="shared" si="0"/>
        <v>0</v>
      </c>
      <c r="AS16">
        <f t="shared" si="0"/>
        <v>1</v>
      </c>
      <c r="AT16">
        <f t="shared" si="0"/>
        <v>1</v>
      </c>
      <c r="AU16">
        <f t="shared" si="0"/>
        <v>1</v>
      </c>
      <c r="AV16">
        <f t="shared" si="0"/>
        <v>1</v>
      </c>
      <c r="AW16">
        <f t="shared" si="0"/>
        <v>1</v>
      </c>
      <c r="AX16">
        <f t="shared" si="0"/>
        <v>1</v>
      </c>
      <c r="AY16">
        <f t="shared" si="0"/>
        <v>1</v>
      </c>
      <c r="AZ16">
        <f t="shared" si="0"/>
        <v>1</v>
      </c>
      <c r="BA16">
        <f t="shared" si="0"/>
        <v>1</v>
      </c>
      <c r="BB16">
        <f t="shared" si="0"/>
        <v>0</v>
      </c>
      <c r="BC16">
        <f t="shared" si="0"/>
        <v>1</v>
      </c>
      <c r="BE16">
        <f t="shared" si="6"/>
        <v>0</v>
      </c>
      <c r="BF16">
        <f t="shared" si="1"/>
        <v>0</v>
      </c>
      <c r="BG16">
        <f t="shared" si="1"/>
        <v>0</v>
      </c>
      <c r="BH16">
        <f t="shared" si="1"/>
        <v>0</v>
      </c>
      <c r="BI16">
        <f t="shared" si="1"/>
        <v>0</v>
      </c>
      <c r="BJ16">
        <f t="shared" si="1"/>
        <v>0</v>
      </c>
      <c r="BK16">
        <f t="shared" si="1"/>
        <v>0</v>
      </c>
      <c r="BL16">
        <f t="shared" si="1"/>
        <v>0</v>
      </c>
      <c r="BM16">
        <f t="shared" si="1"/>
        <v>0</v>
      </c>
      <c r="BN16">
        <f t="shared" si="1"/>
        <v>0</v>
      </c>
      <c r="BO16">
        <f t="shared" si="1"/>
        <v>0</v>
      </c>
      <c r="BP16">
        <f t="shared" si="1"/>
        <v>0</v>
      </c>
      <c r="BQ16">
        <f t="shared" si="1"/>
        <v>0</v>
      </c>
      <c r="BR16">
        <f t="shared" si="1"/>
        <v>0</v>
      </c>
      <c r="BS16">
        <f t="shared" si="1"/>
        <v>0</v>
      </c>
      <c r="BT16">
        <f t="shared" si="1"/>
        <v>0</v>
      </c>
      <c r="BU16">
        <f t="shared" si="1"/>
        <v>0</v>
      </c>
      <c r="BW16">
        <f t="shared" si="7"/>
        <v>0</v>
      </c>
      <c r="BX16">
        <f t="shared" si="2"/>
        <v>1</v>
      </c>
      <c r="BY16">
        <f t="shared" si="2"/>
        <v>1</v>
      </c>
      <c r="BZ16">
        <f t="shared" si="2"/>
        <v>0</v>
      </c>
      <c r="CA16">
        <f t="shared" si="2"/>
        <v>1</v>
      </c>
      <c r="CB16">
        <f t="shared" si="2"/>
        <v>1</v>
      </c>
      <c r="CC16">
        <f t="shared" si="2"/>
        <v>0</v>
      </c>
      <c r="CD16">
        <f t="shared" si="2"/>
        <v>0</v>
      </c>
      <c r="CE16">
        <f t="shared" si="2"/>
        <v>0</v>
      </c>
      <c r="CF16">
        <f t="shared" si="2"/>
        <v>0</v>
      </c>
      <c r="CG16">
        <f t="shared" si="2"/>
        <v>0</v>
      </c>
      <c r="CH16">
        <f t="shared" si="2"/>
        <v>0</v>
      </c>
      <c r="CI16">
        <f t="shared" si="2"/>
        <v>0</v>
      </c>
      <c r="CJ16">
        <f t="shared" si="2"/>
        <v>0</v>
      </c>
      <c r="CK16">
        <f t="shared" si="2"/>
        <v>0</v>
      </c>
      <c r="CL16">
        <f t="shared" si="2"/>
        <v>1</v>
      </c>
      <c r="CM16">
        <f t="shared" si="2"/>
        <v>0</v>
      </c>
      <c r="CO16">
        <f t="shared" si="8"/>
        <v>1</v>
      </c>
      <c r="CP16">
        <f t="shared" si="3"/>
        <v>0</v>
      </c>
      <c r="CQ16">
        <f t="shared" si="3"/>
        <v>0</v>
      </c>
      <c r="CR16">
        <f t="shared" si="3"/>
        <v>0</v>
      </c>
      <c r="CS16">
        <f t="shared" si="3"/>
        <v>0</v>
      </c>
      <c r="CT16">
        <f t="shared" si="3"/>
        <v>0</v>
      </c>
      <c r="CU16">
        <f t="shared" si="3"/>
        <v>1</v>
      </c>
      <c r="CV16">
        <f t="shared" si="3"/>
        <v>1</v>
      </c>
      <c r="CW16">
        <f t="shared" si="3"/>
        <v>1</v>
      </c>
      <c r="CX16">
        <f t="shared" si="3"/>
        <v>1</v>
      </c>
      <c r="CY16">
        <f t="shared" si="3"/>
        <v>1</v>
      </c>
      <c r="CZ16">
        <f t="shared" si="3"/>
        <v>1</v>
      </c>
      <c r="DA16">
        <f t="shared" si="3"/>
        <v>1</v>
      </c>
      <c r="DB16">
        <f t="shared" si="3"/>
        <v>0</v>
      </c>
      <c r="DC16">
        <f t="shared" si="3"/>
        <v>1</v>
      </c>
      <c r="DD16">
        <f t="shared" si="3"/>
        <v>0</v>
      </c>
      <c r="DE16">
        <f t="shared" si="3"/>
        <v>1</v>
      </c>
      <c r="DG16">
        <f t="shared" si="9"/>
        <v>0</v>
      </c>
      <c r="DH16">
        <f t="shared" si="4"/>
        <v>0</v>
      </c>
      <c r="DI16">
        <f t="shared" si="4"/>
        <v>0</v>
      </c>
      <c r="DJ16">
        <f t="shared" si="4"/>
        <v>1</v>
      </c>
      <c r="DK16">
        <f t="shared" si="4"/>
        <v>0</v>
      </c>
      <c r="DL16">
        <f t="shared" si="4"/>
        <v>0</v>
      </c>
      <c r="DM16">
        <f t="shared" si="4"/>
        <v>0</v>
      </c>
      <c r="DN16">
        <f t="shared" si="4"/>
        <v>0</v>
      </c>
      <c r="DO16">
        <f t="shared" si="4"/>
        <v>0</v>
      </c>
      <c r="DP16">
        <f t="shared" si="4"/>
        <v>0</v>
      </c>
      <c r="DQ16">
        <f t="shared" si="4"/>
        <v>0</v>
      </c>
      <c r="DR16">
        <f t="shared" si="4"/>
        <v>0</v>
      </c>
      <c r="DS16">
        <f t="shared" si="4"/>
        <v>0</v>
      </c>
      <c r="DT16">
        <f t="shared" si="4"/>
        <v>1</v>
      </c>
      <c r="DU16">
        <f t="shared" si="4"/>
        <v>0</v>
      </c>
      <c r="DV16">
        <f t="shared" si="4"/>
        <v>0</v>
      </c>
      <c r="DW16">
        <f t="shared" si="4"/>
        <v>0</v>
      </c>
    </row>
    <row r="17" spans="1:127" x14ac:dyDescent="0.2">
      <c r="A17" s="20" t="s">
        <v>61</v>
      </c>
      <c r="B17" s="20" t="s">
        <v>53</v>
      </c>
      <c r="C17" s="20"/>
      <c r="D17" s="20" t="s">
        <v>53</v>
      </c>
      <c r="E17" s="20" t="s">
        <v>53</v>
      </c>
      <c r="F17" s="20" t="s">
        <v>53</v>
      </c>
      <c r="G17" s="20" t="s">
        <v>53</v>
      </c>
      <c r="H17" s="20" t="s">
        <v>53</v>
      </c>
      <c r="I17" s="20" t="s">
        <v>53</v>
      </c>
      <c r="J17" s="21" t="s">
        <v>53</v>
      </c>
      <c r="K17" s="20" t="s">
        <v>53</v>
      </c>
      <c r="L17" s="20" t="s">
        <v>53</v>
      </c>
      <c r="M17" s="20" t="s">
        <v>53</v>
      </c>
      <c r="N17" s="20" t="s">
        <v>53</v>
      </c>
      <c r="O17" s="20" t="s">
        <v>53</v>
      </c>
      <c r="P17" s="20" t="s">
        <v>53</v>
      </c>
      <c r="Q17" s="20" t="s">
        <v>53</v>
      </c>
      <c r="R17" s="20"/>
      <c r="U17" s="20" t="s">
        <v>53</v>
      </c>
      <c r="V17" s="20" t="s">
        <v>53</v>
      </c>
      <c r="W17" s="20" t="s">
        <v>53</v>
      </c>
      <c r="X17" s="20" t="s">
        <v>53</v>
      </c>
      <c r="Y17" s="20" t="s">
        <v>53</v>
      </c>
      <c r="Z17" s="20" t="s">
        <v>53</v>
      </c>
      <c r="AA17" s="20" t="s">
        <v>53</v>
      </c>
      <c r="AB17" s="20" t="s">
        <v>53</v>
      </c>
      <c r="AC17" s="20" t="s">
        <v>53</v>
      </c>
      <c r="AD17" s="20" t="s">
        <v>53</v>
      </c>
      <c r="AE17" s="20"/>
      <c r="AF17" s="20" t="s">
        <v>53</v>
      </c>
      <c r="AG17" s="20" t="s">
        <v>53</v>
      </c>
      <c r="AH17" s="20" t="s">
        <v>53</v>
      </c>
      <c r="AI17" s="20" t="s">
        <v>53</v>
      </c>
      <c r="AJ17" s="20" t="s">
        <v>53</v>
      </c>
      <c r="AK17" s="20" t="s">
        <v>53</v>
      </c>
      <c r="AM17">
        <f t="shared" si="5"/>
        <v>1</v>
      </c>
      <c r="AN17">
        <f t="shared" si="0"/>
        <v>0</v>
      </c>
      <c r="AO17">
        <f t="shared" si="0"/>
        <v>1</v>
      </c>
      <c r="AP17">
        <f t="shared" si="0"/>
        <v>1</v>
      </c>
      <c r="AQ17">
        <f t="shared" si="0"/>
        <v>1</v>
      </c>
      <c r="AR17">
        <f t="shared" si="0"/>
        <v>1</v>
      </c>
      <c r="AS17">
        <f t="shared" si="0"/>
        <v>1</v>
      </c>
      <c r="AT17">
        <f t="shared" si="0"/>
        <v>1</v>
      </c>
      <c r="AU17">
        <f t="shared" si="0"/>
        <v>1</v>
      </c>
      <c r="AV17">
        <f t="shared" si="0"/>
        <v>1</v>
      </c>
      <c r="AW17">
        <f t="shared" si="0"/>
        <v>0</v>
      </c>
      <c r="AX17">
        <f t="shared" si="0"/>
        <v>1</v>
      </c>
      <c r="AY17">
        <f t="shared" si="0"/>
        <v>1</v>
      </c>
      <c r="AZ17">
        <f t="shared" si="0"/>
        <v>1</v>
      </c>
      <c r="BA17">
        <f t="shared" si="0"/>
        <v>1</v>
      </c>
      <c r="BB17">
        <f t="shared" si="0"/>
        <v>1</v>
      </c>
      <c r="BC17">
        <f t="shared" si="0"/>
        <v>0</v>
      </c>
      <c r="BE17">
        <f t="shared" si="6"/>
        <v>0</v>
      </c>
      <c r="BF17">
        <f t="shared" si="1"/>
        <v>0</v>
      </c>
      <c r="BG17">
        <f t="shared" si="1"/>
        <v>0</v>
      </c>
      <c r="BH17">
        <f t="shared" si="1"/>
        <v>0</v>
      </c>
      <c r="BI17">
        <f t="shared" si="1"/>
        <v>0</v>
      </c>
      <c r="BJ17">
        <f t="shared" si="1"/>
        <v>0</v>
      </c>
      <c r="BK17">
        <f t="shared" si="1"/>
        <v>0</v>
      </c>
      <c r="BL17">
        <f t="shared" si="1"/>
        <v>0</v>
      </c>
      <c r="BM17">
        <f t="shared" si="1"/>
        <v>0</v>
      </c>
      <c r="BN17">
        <f t="shared" si="1"/>
        <v>0</v>
      </c>
      <c r="BO17">
        <f t="shared" si="1"/>
        <v>1</v>
      </c>
      <c r="BP17">
        <f t="shared" si="1"/>
        <v>0</v>
      </c>
      <c r="BQ17">
        <f t="shared" si="1"/>
        <v>0</v>
      </c>
      <c r="BR17">
        <f t="shared" si="1"/>
        <v>0</v>
      </c>
      <c r="BS17">
        <f t="shared" si="1"/>
        <v>0</v>
      </c>
      <c r="BT17">
        <f t="shared" si="1"/>
        <v>0</v>
      </c>
      <c r="BU17">
        <f t="shared" si="1"/>
        <v>0</v>
      </c>
      <c r="BW17">
        <f t="shared" si="7"/>
        <v>0</v>
      </c>
      <c r="BX17">
        <f t="shared" si="2"/>
        <v>1</v>
      </c>
      <c r="BY17">
        <f t="shared" si="2"/>
        <v>0</v>
      </c>
      <c r="BZ17">
        <f t="shared" si="2"/>
        <v>0</v>
      </c>
      <c r="CA17">
        <f t="shared" si="2"/>
        <v>0</v>
      </c>
      <c r="CB17">
        <f t="shared" si="2"/>
        <v>0</v>
      </c>
      <c r="CC17">
        <f t="shared" si="2"/>
        <v>0</v>
      </c>
      <c r="CD17">
        <f t="shared" si="2"/>
        <v>0</v>
      </c>
      <c r="CE17">
        <f t="shared" si="2"/>
        <v>0</v>
      </c>
      <c r="CF17">
        <f t="shared" si="2"/>
        <v>0</v>
      </c>
      <c r="CG17">
        <f t="shared" si="2"/>
        <v>0</v>
      </c>
      <c r="CH17">
        <f t="shared" si="2"/>
        <v>0</v>
      </c>
      <c r="CI17">
        <f t="shared" si="2"/>
        <v>0</v>
      </c>
      <c r="CJ17">
        <f t="shared" si="2"/>
        <v>0</v>
      </c>
      <c r="CK17">
        <f t="shared" si="2"/>
        <v>0</v>
      </c>
      <c r="CL17">
        <f t="shared" si="2"/>
        <v>0</v>
      </c>
      <c r="CM17">
        <f t="shared" si="2"/>
        <v>1</v>
      </c>
      <c r="CO17">
        <f t="shared" si="8"/>
        <v>1</v>
      </c>
      <c r="CP17">
        <f t="shared" si="3"/>
        <v>0</v>
      </c>
      <c r="CQ17">
        <f t="shared" si="3"/>
        <v>1</v>
      </c>
      <c r="CR17">
        <f t="shared" si="3"/>
        <v>1</v>
      </c>
      <c r="CS17">
        <f t="shared" si="3"/>
        <v>1</v>
      </c>
      <c r="CT17">
        <f t="shared" si="3"/>
        <v>1</v>
      </c>
      <c r="CU17">
        <f t="shared" si="3"/>
        <v>1</v>
      </c>
      <c r="CV17">
        <f t="shared" si="3"/>
        <v>1</v>
      </c>
      <c r="CW17">
        <f t="shared" si="3"/>
        <v>1</v>
      </c>
      <c r="CX17">
        <f t="shared" si="3"/>
        <v>1</v>
      </c>
      <c r="CY17">
        <f t="shared" si="3"/>
        <v>0</v>
      </c>
      <c r="CZ17">
        <f t="shared" si="3"/>
        <v>1</v>
      </c>
      <c r="DA17">
        <f t="shared" si="3"/>
        <v>1</v>
      </c>
      <c r="DB17">
        <f t="shared" si="3"/>
        <v>1</v>
      </c>
      <c r="DC17">
        <f t="shared" si="3"/>
        <v>1</v>
      </c>
      <c r="DD17">
        <f t="shared" si="3"/>
        <v>1</v>
      </c>
      <c r="DE17">
        <f t="shared" si="3"/>
        <v>0</v>
      </c>
      <c r="DG17">
        <f t="shared" si="9"/>
        <v>0</v>
      </c>
      <c r="DH17">
        <f t="shared" si="4"/>
        <v>0</v>
      </c>
      <c r="DI17">
        <f t="shared" si="4"/>
        <v>0</v>
      </c>
      <c r="DJ17">
        <f t="shared" si="4"/>
        <v>0</v>
      </c>
      <c r="DK17">
        <f t="shared" si="4"/>
        <v>0</v>
      </c>
      <c r="DL17">
        <f t="shared" si="4"/>
        <v>0</v>
      </c>
      <c r="DM17">
        <f t="shared" si="4"/>
        <v>0</v>
      </c>
      <c r="DN17">
        <f t="shared" si="4"/>
        <v>0</v>
      </c>
      <c r="DO17">
        <f t="shared" si="4"/>
        <v>0</v>
      </c>
      <c r="DP17">
        <f t="shared" si="4"/>
        <v>0</v>
      </c>
      <c r="DQ17">
        <f t="shared" si="4"/>
        <v>0</v>
      </c>
      <c r="DR17">
        <f t="shared" si="4"/>
        <v>0</v>
      </c>
      <c r="DS17">
        <f t="shared" si="4"/>
        <v>0</v>
      </c>
      <c r="DT17">
        <f t="shared" si="4"/>
        <v>0</v>
      </c>
      <c r="DU17">
        <f t="shared" si="4"/>
        <v>0</v>
      </c>
      <c r="DV17">
        <f t="shared" si="4"/>
        <v>0</v>
      </c>
      <c r="DW17">
        <f t="shared" si="4"/>
        <v>0</v>
      </c>
    </row>
    <row r="18" spans="1:127" x14ac:dyDescent="0.2">
      <c r="A18" s="20" t="s">
        <v>108</v>
      </c>
      <c r="B18" s="20" t="s">
        <v>53</v>
      </c>
      <c r="C18" s="20"/>
      <c r="D18" s="20" t="s">
        <v>53</v>
      </c>
      <c r="E18" s="20"/>
      <c r="F18" s="20"/>
      <c r="G18" s="20" t="s">
        <v>53</v>
      </c>
      <c r="H18" s="20" t="s">
        <v>53</v>
      </c>
      <c r="I18" s="20" t="s">
        <v>53</v>
      </c>
      <c r="J18" s="21" t="s">
        <v>53</v>
      </c>
      <c r="K18" s="20" t="s">
        <v>53</v>
      </c>
      <c r="L18" s="20"/>
      <c r="M18" s="20" t="s">
        <v>53</v>
      </c>
      <c r="N18" s="20" t="s">
        <v>53</v>
      </c>
      <c r="O18" s="20" t="s">
        <v>53</v>
      </c>
      <c r="P18" s="20" t="s">
        <v>53</v>
      </c>
      <c r="Q18" s="20" t="s">
        <v>53</v>
      </c>
      <c r="R18" s="20"/>
      <c r="U18" s="20" t="s">
        <v>53</v>
      </c>
      <c r="V18" s="20" t="s">
        <v>53</v>
      </c>
      <c r="W18" s="20" t="s">
        <v>53</v>
      </c>
      <c r="X18" s="20" t="s">
        <v>53</v>
      </c>
      <c r="Y18" s="20" t="s">
        <v>53</v>
      </c>
      <c r="Z18" s="20" t="s">
        <v>53</v>
      </c>
      <c r="AA18" s="20" t="s">
        <v>53</v>
      </c>
      <c r="AB18" s="20" t="s">
        <v>53</v>
      </c>
      <c r="AC18" s="20" t="s">
        <v>53</v>
      </c>
      <c r="AD18" s="20" t="s">
        <v>53</v>
      </c>
      <c r="AE18" s="20" t="s">
        <v>53</v>
      </c>
      <c r="AF18" s="20" t="s">
        <v>53</v>
      </c>
      <c r="AG18" s="20" t="s">
        <v>53</v>
      </c>
      <c r="AH18" s="20" t="s">
        <v>53</v>
      </c>
      <c r="AI18" s="20" t="s">
        <v>53</v>
      </c>
      <c r="AJ18" s="20" t="s">
        <v>53</v>
      </c>
      <c r="AK18" s="20" t="s">
        <v>53</v>
      </c>
      <c r="AM18">
        <f t="shared" si="5"/>
        <v>1</v>
      </c>
      <c r="AN18">
        <f t="shared" si="0"/>
        <v>0</v>
      </c>
      <c r="AO18">
        <f t="shared" si="0"/>
        <v>1</v>
      </c>
      <c r="AP18">
        <f t="shared" si="0"/>
        <v>0</v>
      </c>
      <c r="AQ18">
        <f t="shared" si="0"/>
        <v>0</v>
      </c>
      <c r="AR18">
        <f t="shared" si="0"/>
        <v>1</v>
      </c>
      <c r="AS18">
        <f t="shared" si="0"/>
        <v>1</v>
      </c>
      <c r="AT18">
        <f t="shared" si="0"/>
        <v>1</v>
      </c>
      <c r="AU18">
        <f t="shared" si="0"/>
        <v>1</v>
      </c>
      <c r="AV18">
        <f t="shared" si="0"/>
        <v>1</v>
      </c>
      <c r="AW18">
        <f t="shared" si="0"/>
        <v>0</v>
      </c>
      <c r="AX18">
        <f t="shared" si="0"/>
        <v>1</v>
      </c>
      <c r="AY18">
        <f t="shared" si="0"/>
        <v>1</v>
      </c>
      <c r="AZ18">
        <f t="shared" si="0"/>
        <v>1</v>
      </c>
      <c r="BA18">
        <f t="shared" si="0"/>
        <v>1</v>
      </c>
      <c r="BB18">
        <f t="shared" si="0"/>
        <v>1</v>
      </c>
      <c r="BC18">
        <f t="shared" ref="BC18:BC39" si="10">IF(R18=AK18,1,0)</f>
        <v>0</v>
      </c>
      <c r="BE18">
        <f t="shared" si="6"/>
        <v>0</v>
      </c>
      <c r="BF18">
        <f t="shared" si="1"/>
        <v>0</v>
      </c>
      <c r="BG18">
        <f t="shared" si="1"/>
        <v>0</v>
      </c>
      <c r="BH18">
        <f t="shared" si="1"/>
        <v>0</v>
      </c>
      <c r="BI18">
        <f t="shared" si="1"/>
        <v>0</v>
      </c>
      <c r="BJ18">
        <f t="shared" si="1"/>
        <v>0</v>
      </c>
      <c r="BK18">
        <f t="shared" si="1"/>
        <v>0</v>
      </c>
      <c r="BL18">
        <f t="shared" si="1"/>
        <v>0</v>
      </c>
      <c r="BM18">
        <f t="shared" si="1"/>
        <v>0</v>
      </c>
      <c r="BN18">
        <f t="shared" si="1"/>
        <v>0</v>
      </c>
      <c r="BO18">
        <f t="shared" si="1"/>
        <v>0</v>
      </c>
      <c r="BP18">
        <f t="shared" si="1"/>
        <v>0</v>
      </c>
      <c r="BQ18">
        <f t="shared" si="1"/>
        <v>0</v>
      </c>
      <c r="BR18">
        <f t="shared" si="1"/>
        <v>0</v>
      </c>
      <c r="BS18">
        <f t="shared" si="1"/>
        <v>0</v>
      </c>
      <c r="BT18">
        <f t="shared" si="1"/>
        <v>0</v>
      </c>
      <c r="BU18">
        <f t="shared" ref="BU18:BU38" si="11">IF(AND(R18="X", AK18 &lt;&gt;"X"),1,0)</f>
        <v>0</v>
      </c>
      <c r="BW18">
        <f t="shared" si="7"/>
        <v>0</v>
      </c>
      <c r="BX18">
        <f t="shared" si="2"/>
        <v>1</v>
      </c>
      <c r="BY18">
        <f t="shared" si="2"/>
        <v>0</v>
      </c>
      <c r="BZ18">
        <f t="shared" si="2"/>
        <v>1</v>
      </c>
      <c r="CA18">
        <f t="shared" si="2"/>
        <v>1</v>
      </c>
      <c r="CB18">
        <f t="shared" si="2"/>
        <v>0</v>
      </c>
      <c r="CC18">
        <f t="shared" si="2"/>
        <v>0</v>
      </c>
      <c r="CD18">
        <f t="shared" si="2"/>
        <v>0</v>
      </c>
      <c r="CE18">
        <f t="shared" si="2"/>
        <v>0</v>
      </c>
      <c r="CF18">
        <f t="shared" si="2"/>
        <v>0</v>
      </c>
      <c r="CG18">
        <f t="shared" si="2"/>
        <v>1</v>
      </c>
      <c r="CH18">
        <f t="shared" si="2"/>
        <v>0</v>
      </c>
      <c r="CI18">
        <f t="shared" si="2"/>
        <v>0</v>
      </c>
      <c r="CJ18">
        <f t="shared" si="2"/>
        <v>0</v>
      </c>
      <c r="CK18">
        <f t="shared" si="2"/>
        <v>0</v>
      </c>
      <c r="CL18">
        <f t="shared" si="2"/>
        <v>0</v>
      </c>
      <c r="CM18">
        <f t="shared" ref="CM18:CM52" si="12">IF(AND(R18&lt;&gt;"X", AK18 ="X"),1,0)</f>
        <v>1</v>
      </c>
      <c r="CO18">
        <f t="shared" si="8"/>
        <v>1</v>
      </c>
      <c r="CP18">
        <f t="shared" si="3"/>
        <v>0</v>
      </c>
      <c r="CQ18">
        <f t="shared" si="3"/>
        <v>1</v>
      </c>
      <c r="CR18">
        <f t="shared" si="3"/>
        <v>0</v>
      </c>
      <c r="CS18">
        <f t="shared" si="3"/>
        <v>0</v>
      </c>
      <c r="CT18">
        <f t="shared" si="3"/>
        <v>1</v>
      </c>
      <c r="CU18">
        <f t="shared" si="3"/>
        <v>1</v>
      </c>
      <c r="CV18">
        <f t="shared" si="3"/>
        <v>1</v>
      </c>
      <c r="CW18">
        <f t="shared" si="3"/>
        <v>1</v>
      </c>
      <c r="CX18">
        <f t="shared" si="3"/>
        <v>1</v>
      </c>
      <c r="CY18">
        <f t="shared" si="3"/>
        <v>0</v>
      </c>
      <c r="CZ18">
        <f t="shared" si="3"/>
        <v>1</v>
      </c>
      <c r="DA18">
        <f t="shared" si="3"/>
        <v>1</v>
      </c>
      <c r="DB18">
        <f t="shared" si="3"/>
        <v>1</v>
      </c>
      <c r="DC18">
        <f t="shared" si="3"/>
        <v>1</v>
      </c>
      <c r="DD18">
        <f t="shared" si="3"/>
        <v>1</v>
      </c>
      <c r="DE18">
        <f t="shared" ref="DE18:DE52" si="13">IF(AND(R18=AK18, R18="X"),1,0)</f>
        <v>0</v>
      </c>
      <c r="DG18">
        <f t="shared" si="9"/>
        <v>0</v>
      </c>
      <c r="DH18">
        <f t="shared" si="4"/>
        <v>0</v>
      </c>
      <c r="DI18">
        <f t="shared" si="4"/>
        <v>0</v>
      </c>
      <c r="DJ18">
        <f t="shared" si="4"/>
        <v>0</v>
      </c>
      <c r="DK18">
        <f t="shared" si="4"/>
        <v>0</v>
      </c>
      <c r="DL18">
        <f t="shared" si="4"/>
        <v>0</v>
      </c>
      <c r="DM18">
        <f t="shared" si="4"/>
        <v>0</v>
      </c>
      <c r="DN18">
        <f t="shared" si="4"/>
        <v>0</v>
      </c>
      <c r="DO18">
        <f t="shared" si="4"/>
        <v>0</v>
      </c>
      <c r="DP18">
        <f t="shared" si="4"/>
        <v>0</v>
      </c>
      <c r="DQ18">
        <f t="shared" si="4"/>
        <v>0</v>
      </c>
      <c r="DR18">
        <f t="shared" si="4"/>
        <v>0</v>
      </c>
      <c r="DS18">
        <f t="shared" si="4"/>
        <v>0</v>
      </c>
      <c r="DT18">
        <f t="shared" si="4"/>
        <v>0</v>
      </c>
      <c r="DU18">
        <f t="shared" si="4"/>
        <v>0</v>
      </c>
      <c r="DV18">
        <f t="shared" si="4"/>
        <v>0</v>
      </c>
      <c r="DW18">
        <f t="shared" ref="DW18:DW52" si="14">IF(AND(R18=AK18, R18&lt;&gt;"X"),1,0)</f>
        <v>0</v>
      </c>
    </row>
    <row r="19" spans="1:127" x14ac:dyDescent="0.2">
      <c r="A19" s="20" t="s">
        <v>45</v>
      </c>
      <c r="B19" s="20" t="s">
        <v>53</v>
      </c>
      <c r="C19" s="20" t="s">
        <v>53</v>
      </c>
      <c r="D19" s="20" t="s">
        <v>53</v>
      </c>
      <c r="E19" s="20" t="s">
        <v>53</v>
      </c>
      <c r="F19" s="20" t="s">
        <v>53</v>
      </c>
      <c r="G19" s="20" t="s">
        <v>53</v>
      </c>
      <c r="H19" s="20" t="s">
        <v>53</v>
      </c>
      <c r="I19" s="20" t="s">
        <v>53</v>
      </c>
      <c r="J19" s="21" t="s">
        <v>53</v>
      </c>
      <c r="K19" s="20" t="s">
        <v>53</v>
      </c>
      <c r="L19" s="20" t="s">
        <v>53</v>
      </c>
      <c r="M19" s="20" t="s">
        <v>53</v>
      </c>
      <c r="N19" s="20"/>
      <c r="O19" s="20"/>
      <c r="P19" s="20"/>
      <c r="Q19" s="20"/>
      <c r="R19" s="20"/>
      <c r="U19" s="20" t="s">
        <v>53</v>
      </c>
      <c r="V19" s="20" t="s">
        <v>53</v>
      </c>
      <c r="W19" s="20" t="s">
        <v>53</v>
      </c>
      <c r="X19" s="20" t="s">
        <v>53</v>
      </c>
      <c r="Y19" s="20" t="s">
        <v>53</v>
      </c>
      <c r="Z19" s="20" t="s">
        <v>53</v>
      </c>
      <c r="AA19" s="20" t="s">
        <v>53</v>
      </c>
      <c r="AB19" s="20" t="s">
        <v>53</v>
      </c>
      <c r="AC19" s="20" t="s">
        <v>53</v>
      </c>
      <c r="AD19" s="20" t="s">
        <v>53</v>
      </c>
      <c r="AE19" s="20"/>
      <c r="AF19" s="20" t="s">
        <v>53</v>
      </c>
      <c r="AG19" s="20"/>
      <c r="AH19" s="20"/>
      <c r="AI19" s="20"/>
      <c r="AJ19" s="20"/>
      <c r="AK19" s="20" t="s">
        <v>53</v>
      </c>
      <c r="AM19">
        <f t="shared" si="5"/>
        <v>1</v>
      </c>
      <c r="AN19">
        <f t="shared" si="5"/>
        <v>1</v>
      </c>
      <c r="AO19">
        <f t="shared" si="5"/>
        <v>1</v>
      </c>
      <c r="AP19">
        <f t="shared" si="5"/>
        <v>1</v>
      </c>
      <c r="AQ19">
        <f t="shared" si="5"/>
        <v>1</v>
      </c>
      <c r="AR19">
        <f t="shared" si="5"/>
        <v>1</v>
      </c>
      <c r="AS19">
        <f t="shared" si="5"/>
        <v>1</v>
      </c>
      <c r="AT19">
        <f t="shared" si="5"/>
        <v>1</v>
      </c>
      <c r="AU19">
        <f t="shared" si="5"/>
        <v>1</v>
      </c>
      <c r="AV19">
        <f t="shared" si="5"/>
        <v>1</v>
      </c>
      <c r="AW19">
        <f t="shared" si="5"/>
        <v>0</v>
      </c>
      <c r="AX19">
        <f t="shared" si="5"/>
        <v>1</v>
      </c>
      <c r="AY19">
        <f t="shared" si="5"/>
        <v>1</v>
      </c>
      <c r="AZ19">
        <f t="shared" si="5"/>
        <v>1</v>
      </c>
      <c r="BA19">
        <f t="shared" si="5"/>
        <v>1</v>
      </c>
      <c r="BB19">
        <f t="shared" si="5"/>
        <v>1</v>
      </c>
      <c r="BC19">
        <f t="shared" si="10"/>
        <v>0</v>
      </c>
      <c r="BE19">
        <f t="shared" si="6"/>
        <v>0</v>
      </c>
      <c r="BF19">
        <f t="shared" si="6"/>
        <v>0</v>
      </c>
      <c r="BG19">
        <f t="shared" si="6"/>
        <v>0</v>
      </c>
      <c r="BH19">
        <f t="shared" si="6"/>
        <v>0</v>
      </c>
      <c r="BI19">
        <f t="shared" si="6"/>
        <v>0</v>
      </c>
      <c r="BJ19">
        <f t="shared" si="6"/>
        <v>0</v>
      </c>
      <c r="BK19">
        <f t="shared" si="6"/>
        <v>0</v>
      </c>
      <c r="BL19">
        <f t="shared" si="6"/>
        <v>0</v>
      </c>
      <c r="BM19">
        <f t="shared" si="6"/>
        <v>0</v>
      </c>
      <c r="BN19">
        <f t="shared" si="6"/>
        <v>0</v>
      </c>
      <c r="BO19">
        <f t="shared" si="6"/>
        <v>1</v>
      </c>
      <c r="BP19">
        <f t="shared" si="6"/>
        <v>0</v>
      </c>
      <c r="BQ19">
        <f t="shared" si="6"/>
        <v>0</v>
      </c>
      <c r="BR19">
        <f t="shared" si="6"/>
        <v>0</v>
      </c>
      <c r="BS19">
        <f t="shared" si="6"/>
        <v>0</v>
      </c>
      <c r="BT19">
        <f t="shared" si="6"/>
        <v>0</v>
      </c>
      <c r="BU19">
        <f t="shared" si="11"/>
        <v>0</v>
      </c>
      <c r="BW19">
        <f t="shared" si="7"/>
        <v>0</v>
      </c>
      <c r="BX19">
        <f t="shared" si="7"/>
        <v>0</v>
      </c>
      <c r="BY19">
        <f t="shared" si="7"/>
        <v>0</v>
      </c>
      <c r="BZ19">
        <f t="shared" si="7"/>
        <v>0</v>
      </c>
      <c r="CA19">
        <f t="shared" si="7"/>
        <v>0</v>
      </c>
      <c r="CB19">
        <f t="shared" si="7"/>
        <v>0</v>
      </c>
      <c r="CC19">
        <f t="shared" si="7"/>
        <v>0</v>
      </c>
      <c r="CD19">
        <f t="shared" si="7"/>
        <v>0</v>
      </c>
      <c r="CE19">
        <f t="shared" si="7"/>
        <v>0</v>
      </c>
      <c r="CF19">
        <f t="shared" si="7"/>
        <v>0</v>
      </c>
      <c r="CG19">
        <f t="shared" si="7"/>
        <v>0</v>
      </c>
      <c r="CH19">
        <f t="shared" si="7"/>
        <v>0</v>
      </c>
      <c r="CI19">
        <f t="shared" si="7"/>
        <v>0</v>
      </c>
      <c r="CJ19">
        <f t="shared" si="7"/>
        <v>0</v>
      </c>
      <c r="CK19">
        <f t="shared" si="7"/>
        <v>0</v>
      </c>
      <c r="CL19">
        <f t="shared" si="7"/>
        <v>0</v>
      </c>
      <c r="CM19">
        <f t="shared" si="12"/>
        <v>1</v>
      </c>
      <c r="CO19">
        <f t="shared" si="8"/>
        <v>1</v>
      </c>
      <c r="CP19">
        <f t="shared" si="8"/>
        <v>1</v>
      </c>
      <c r="CQ19">
        <f t="shared" si="8"/>
        <v>1</v>
      </c>
      <c r="CR19">
        <f t="shared" si="8"/>
        <v>1</v>
      </c>
      <c r="CS19">
        <f t="shared" si="8"/>
        <v>1</v>
      </c>
      <c r="CT19">
        <f t="shared" si="8"/>
        <v>1</v>
      </c>
      <c r="CU19">
        <f t="shared" si="8"/>
        <v>1</v>
      </c>
      <c r="CV19">
        <f t="shared" si="8"/>
        <v>1</v>
      </c>
      <c r="CW19">
        <f t="shared" si="8"/>
        <v>1</v>
      </c>
      <c r="CX19">
        <f t="shared" si="8"/>
        <v>1</v>
      </c>
      <c r="CY19">
        <f t="shared" si="8"/>
        <v>0</v>
      </c>
      <c r="CZ19">
        <f t="shared" si="8"/>
        <v>1</v>
      </c>
      <c r="DA19">
        <f t="shared" si="8"/>
        <v>0</v>
      </c>
      <c r="DB19">
        <f t="shared" si="8"/>
        <v>0</v>
      </c>
      <c r="DC19">
        <f t="shared" si="8"/>
        <v>0</v>
      </c>
      <c r="DD19">
        <f t="shared" si="8"/>
        <v>0</v>
      </c>
      <c r="DE19">
        <f t="shared" si="13"/>
        <v>0</v>
      </c>
      <c r="DG19">
        <f t="shared" si="9"/>
        <v>0</v>
      </c>
      <c r="DH19">
        <f t="shared" si="9"/>
        <v>0</v>
      </c>
      <c r="DI19">
        <f t="shared" si="9"/>
        <v>0</v>
      </c>
      <c r="DJ19">
        <f t="shared" si="9"/>
        <v>0</v>
      </c>
      <c r="DK19">
        <f t="shared" si="9"/>
        <v>0</v>
      </c>
      <c r="DL19">
        <f t="shared" si="9"/>
        <v>0</v>
      </c>
      <c r="DM19">
        <f t="shared" si="9"/>
        <v>0</v>
      </c>
      <c r="DN19">
        <f t="shared" si="9"/>
        <v>0</v>
      </c>
      <c r="DO19">
        <f t="shared" si="9"/>
        <v>0</v>
      </c>
      <c r="DP19">
        <f t="shared" si="9"/>
        <v>0</v>
      </c>
      <c r="DQ19">
        <f t="shared" si="9"/>
        <v>0</v>
      </c>
      <c r="DR19">
        <f t="shared" si="9"/>
        <v>0</v>
      </c>
      <c r="DS19">
        <f t="shared" si="9"/>
        <v>1</v>
      </c>
      <c r="DT19">
        <f t="shared" si="9"/>
        <v>1</v>
      </c>
      <c r="DU19">
        <f t="shared" si="9"/>
        <v>1</v>
      </c>
      <c r="DV19">
        <f t="shared" si="9"/>
        <v>1</v>
      </c>
      <c r="DW19">
        <f t="shared" si="14"/>
        <v>0</v>
      </c>
    </row>
    <row r="20" spans="1:127" x14ac:dyDescent="0.2">
      <c r="A20" s="20" t="s">
        <v>106</v>
      </c>
      <c r="B20" s="20" t="s">
        <v>53</v>
      </c>
      <c r="C20" s="20" t="s">
        <v>53</v>
      </c>
      <c r="D20" s="20" t="s">
        <v>53</v>
      </c>
      <c r="E20" s="20" t="s">
        <v>53</v>
      </c>
      <c r="F20" s="20" t="s">
        <v>53</v>
      </c>
      <c r="G20" s="20" t="s">
        <v>53</v>
      </c>
      <c r="H20" s="20" t="s">
        <v>53</v>
      </c>
      <c r="I20" s="20" t="s">
        <v>53</v>
      </c>
      <c r="J20" s="21" t="s">
        <v>53</v>
      </c>
      <c r="K20" s="20" t="s">
        <v>53</v>
      </c>
      <c r="L20" s="20" t="s">
        <v>53</v>
      </c>
      <c r="M20" s="20" t="s">
        <v>53</v>
      </c>
      <c r="N20" s="20" t="s">
        <v>53</v>
      </c>
      <c r="O20" s="20" t="s">
        <v>53</v>
      </c>
      <c r="P20" s="20"/>
      <c r="Q20" s="20"/>
      <c r="R20" s="20" t="s">
        <v>53</v>
      </c>
      <c r="U20" s="20" t="s">
        <v>53</v>
      </c>
      <c r="V20" s="20" t="s">
        <v>53</v>
      </c>
      <c r="W20" s="20" t="s">
        <v>53</v>
      </c>
      <c r="X20" s="20" t="s">
        <v>53</v>
      </c>
      <c r="Y20" s="20" t="s">
        <v>53</v>
      </c>
      <c r="Z20" s="20" t="s">
        <v>53</v>
      </c>
      <c r="AA20" s="20" t="s">
        <v>53</v>
      </c>
      <c r="AB20" s="20" t="s">
        <v>53</v>
      </c>
      <c r="AC20" s="20" t="s">
        <v>53</v>
      </c>
      <c r="AD20" s="20" t="s">
        <v>53</v>
      </c>
      <c r="AE20" s="20" t="s">
        <v>53</v>
      </c>
      <c r="AF20" s="20" t="s">
        <v>53</v>
      </c>
      <c r="AG20" s="20" t="s">
        <v>53</v>
      </c>
      <c r="AH20" s="20" t="s">
        <v>53</v>
      </c>
      <c r="AI20" s="20"/>
      <c r="AJ20" s="20"/>
      <c r="AK20" s="20" t="s">
        <v>53</v>
      </c>
      <c r="AM20">
        <f t="shared" si="5"/>
        <v>1</v>
      </c>
      <c r="AN20">
        <f t="shared" si="5"/>
        <v>1</v>
      </c>
      <c r="AO20">
        <f t="shared" si="5"/>
        <v>1</v>
      </c>
      <c r="AP20">
        <f t="shared" si="5"/>
        <v>1</v>
      </c>
      <c r="AQ20">
        <f t="shared" si="5"/>
        <v>1</v>
      </c>
      <c r="AR20">
        <f t="shared" si="5"/>
        <v>1</v>
      </c>
      <c r="AS20">
        <f t="shared" si="5"/>
        <v>1</v>
      </c>
      <c r="AT20">
        <f t="shared" si="5"/>
        <v>1</v>
      </c>
      <c r="AU20">
        <f t="shared" si="5"/>
        <v>1</v>
      </c>
      <c r="AV20">
        <f t="shared" si="5"/>
        <v>1</v>
      </c>
      <c r="AW20">
        <f t="shared" si="5"/>
        <v>1</v>
      </c>
      <c r="AX20">
        <f t="shared" si="5"/>
        <v>1</v>
      </c>
      <c r="AY20">
        <f t="shared" si="5"/>
        <v>1</v>
      </c>
      <c r="AZ20">
        <f t="shared" si="5"/>
        <v>1</v>
      </c>
      <c r="BA20">
        <f t="shared" si="5"/>
        <v>1</v>
      </c>
      <c r="BB20">
        <f t="shared" si="5"/>
        <v>1</v>
      </c>
      <c r="BC20">
        <f t="shared" si="10"/>
        <v>1</v>
      </c>
      <c r="BE20">
        <f t="shared" si="6"/>
        <v>0</v>
      </c>
      <c r="BF20">
        <f t="shared" si="6"/>
        <v>0</v>
      </c>
      <c r="BG20">
        <f t="shared" si="6"/>
        <v>0</v>
      </c>
      <c r="BH20">
        <f t="shared" si="6"/>
        <v>0</v>
      </c>
      <c r="BI20">
        <f t="shared" si="6"/>
        <v>0</v>
      </c>
      <c r="BJ20">
        <f t="shared" si="6"/>
        <v>0</v>
      </c>
      <c r="BK20">
        <f t="shared" si="6"/>
        <v>0</v>
      </c>
      <c r="BL20">
        <f t="shared" si="6"/>
        <v>0</v>
      </c>
      <c r="BM20">
        <f t="shared" si="6"/>
        <v>0</v>
      </c>
      <c r="BN20">
        <f t="shared" si="6"/>
        <v>0</v>
      </c>
      <c r="BO20">
        <f t="shared" si="6"/>
        <v>0</v>
      </c>
      <c r="BP20">
        <f t="shared" si="6"/>
        <v>0</v>
      </c>
      <c r="BQ20">
        <f t="shared" si="6"/>
        <v>0</v>
      </c>
      <c r="BR20">
        <f t="shared" si="6"/>
        <v>0</v>
      </c>
      <c r="BS20">
        <f t="shared" si="6"/>
        <v>0</v>
      </c>
      <c r="BT20">
        <f t="shared" si="6"/>
        <v>0</v>
      </c>
      <c r="BU20">
        <f t="shared" si="11"/>
        <v>0</v>
      </c>
      <c r="BW20">
        <f t="shared" si="7"/>
        <v>0</v>
      </c>
      <c r="BX20">
        <f t="shared" si="7"/>
        <v>0</v>
      </c>
      <c r="BY20">
        <f t="shared" si="7"/>
        <v>0</v>
      </c>
      <c r="BZ20">
        <f t="shared" si="7"/>
        <v>0</v>
      </c>
      <c r="CA20">
        <f t="shared" si="7"/>
        <v>0</v>
      </c>
      <c r="CB20">
        <f t="shared" si="7"/>
        <v>0</v>
      </c>
      <c r="CC20">
        <f t="shared" si="7"/>
        <v>0</v>
      </c>
      <c r="CD20">
        <f t="shared" si="7"/>
        <v>0</v>
      </c>
      <c r="CE20">
        <f t="shared" si="7"/>
        <v>0</v>
      </c>
      <c r="CF20">
        <f t="shared" si="7"/>
        <v>0</v>
      </c>
      <c r="CG20">
        <f t="shared" si="7"/>
        <v>0</v>
      </c>
      <c r="CH20">
        <f t="shared" si="7"/>
        <v>0</v>
      </c>
      <c r="CI20">
        <f t="shared" si="7"/>
        <v>0</v>
      </c>
      <c r="CJ20">
        <f t="shared" si="7"/>
        <v>0</v>
      </c>
      <c r="CK20">
        <f t="shared" si="7"/>
        <v>0</v>
      </c>
      <c r="CL20">
        <f t="shared" si="7"/>
        <v>0</v>
      </c>
      <c r="CM20">
        <f t="shared" si="12"/>
        <v>0</v>
      </c>
      <c r="CO20">
        <f t="shared" si="8"/>
        <v>1</v>
      </c>
      <c r="CP20">
        <f t="shared" si="8"/>
        <v>1</v>
      </c>
      <c r="CQ20">
        <f t="shared" si="8"/>
        <v>1</v>
      </c>
      <c r="CR20">
        <f t="shared" si="8"/>
        <v>1</v>
      </c>
      <c r="CS20">
        <f t="shared" si="8"/>
        <v>1</v>
      </c>
      <c r="CT20">
        <f t="shared" si="8"/>
        <v>1</v>
      </c>
      <c r="CU20">
        <f t="shared" si="8"/>
        <v>1</v>
      </c>
      <c r="CV20">
        <f t="shared" si="8"/>
        <v>1</v>
      </c>
      <c r="CW20">
        <f t="shared" si="8"/>
        <v>1</v>
      </c>
      <c r="CX20">
        <f t="shared" si="8"/>
        <v>1</v>
      </c>
      <c r="CY20">
        <f t="shared" si="8"/>
        <v>1</v>
      </c>
      <c r="CZ20">
        <f t="shared" si="8"/>
        <v>1</v>
      </c>
      <c r="DA20">
        <f t="shared" si="8"/>
        <v>1</v>
      </c>
      <c r="DB20">
        <f t="shared" si="8"/>
        <v>1</v>
      </c>
      <c r="DC20">
        <f t="shared" si="8"/>
        <v>0</v>
      </c>
      <c r="DD20">
        <f t="shared" si="8"/>
        <v>0</v>
      </c>
      <c r="DE20">
        <f t="shared" si="13"/>
        <v>1</v>
      </c>
      <c r="DG20">
        <f t="shared" si="9"/>
        <v>0</v>
      </c>
      <c r="DH20">
        <f t="shared" si="9"/>
        <v>0</v>
      </c>
      <c r="DI20">
        <f t="shared" si="9"/>
        <v>0</v>
      </c>
      <c r="DJ20">
        <f t="shared" si="9"/>
        <v>0</v>
      </c>
      <c r="DK20">
        <f t="shared" si="9"/>
        <v>0</v>
      </c>
      <c r="DL20">
        <f t="shared" si="9"/>
        <v>0</v>
      </c>
      <c r="DM20">
        <f t="shared" si="9"/>
        <v>0</v>
      </c>
      <c r="DN20">
        <f t="shared" si="9"/>
        <v>0</v>
      </c>
      <c r="DO20">
        <f t="shared" si="9"/>
        <v>0</v>
      </c>
      <c r="DP20">
        <f t="shared" si="9"/>
        <v>0</v>
      </c>
      <c r="DQ20">
        <f t="shared" si="9"/>
        <v>0</v>
      </c>
      <c r="DR20">
        <f t="shared" si="9"/>
        <v>0</v>
      </c>
      <c r="DS20">
        <f t="shared" si="9"/>
        <v>0</v>
      </c>
      <c r="DT20">
        <f t="shared" si="9"/>
        <v>0</v>
      </c>
      <c r="DU20">
        <f t="shared" si="9"/>
        <v>1</v>
      </c>
      <c r="DV20">
        <f t="shared" si="9"/>
        <v>1</v>
      </c>
      <c r="DW20">
        <f t="shared" si="14"/>
        <v>0</v>
      </c>
    </row>
    <row r="21" spans="1:127" x14ac:dyDescent="0.2">
      <c r="A21" s="20" t="s">
        <v>103</v>
      </c>
      <c r="B21" s="20" t="s">
        <v>53</v>
      </c>
      <c r="C21" s="20" t="s">
        <v>53</v>
      </c>
      <c r="D21" s="20" t="s">
        <v>53</v>
      </c>
      <c r="E21" s="20"/>
      <c r="F21" s="20"/>
      <c r="G21" s="20" t="s">
        <v>53</v>
      </c>
      <c r="H21" s="20" t="s">
        <v>53</v>
      </c>
      <c r="I21" s="20" t="s">
        <v>53</v>
      </c>
      <c r="J21" s="21" t="s">
        <v>53</v>
      </c>
      <c r="K21" s="20" t="s">
        <v>53</v>
      </c>
      <c r="L21" s="20"/>
      <c r="M21" s="20" t="s">
        <v>53</v>
      </c>
      <c r="N21" s="20" t="s">
        <v>53</v>
      </c>
      <c r="O21" s="20"/>
      <c r="P21" s="20" t="s">
        <v>53</v>
      </c>
      <c r="Q21" s="20"/>
      <c r="R21" s="20" t="s">
        <v>53</v>
      </c>
      <c r="U21" s="20" t="s">
        <v>53</v>
      </c>
      <c r="V21" s="20" t="s">
        <v>53</v>
      </c>
      <c r="W21" s="20" t="s">
        <v>53</v>
      </c>
      <c r="X21" s="20" t="s">
        <v>53</v>
      </c>
      <c r="Y21" s="20" t="s">
        <v>53</v>
      </c>
      <c r="Z21" s="20" t="s">
        <v>53</v>
      </c>
      <c r="AA21" s="20" t="s">
        <v>53</v>
      </c>
      <c r="AB21" s="20" t="s">
        <v>53</v>
      </c>
      <c r="AC21" s="20" t="s">
        <v>53</v>
      </c>
      <c r="AD21" s="20" t="s">
        <v>53</v>
      </c>
      <c r="AE21" s="20"/>
      <c r="AF21" s="20" t="s">
        <v>53</v>
      </c>
      <c r="AG21" s="20" t="s">
        <v>53</v>
      </c>
      <c r="AH21" s="20"/>
      <c r="AI21" s="20" t="s">
        <v>53</v>
      </c>
      <c r="AJ21" s="20"/>
      <c r="AK21" s="20" t="s">
        <v>53</v>
      </c>
      <c r="AM21">
        <f t="shared" si="5"/>
        <v>1</v>
      </c>
      <c r="AN21">
        <f t="shared" si="5"/>
        <v>1</v>
      </c>
      <c r="AO21">
        <f t="shared" si="5"/>
        <v>1</v>
      </c>
      <c r="AP21">
        <f t="shared" si="5"/>
        <v>0</v>
      </c>
      <c r="AQ21">
        <f t="shared" si="5"/>
        <v>0</v>
      </c>
      <c r="AR21">
        <f t="shared" si="5"/>
        <v>1</v>
      </c>
      <c r="AS21">
        <f t="shared" si="5"/>
        <v>1</v>
      </c>
      <c r="AT21">
        <f t="shared" si="5"/>
        <v>1</v>
      </c>
      <c r="AU21">
        <f t="shared" si="5"/>
        <v>1</v>
      </c>
      <c r="AV21">
        <f t="shared" si="5"/>
        <v>1</v>
      </c>
      <c r="AW21">
        <f t="shared" si="5"/>
        <v>1</v>
      </c>
      <c r="AX21">
        <f t="shared" si="5"/>
        <v>1</v>
      </c>
      <c r="AY21">
        <f t="shared" si="5"/>
        <v>1</v>
      </c>
      <c r="AZ21">
        <f t="shared" si="5"/>
        <v>1</v>
      </c>
      <c r="BA21">
        <f t="shared" si="5"/>
        <v>1</v>
      </c>
      <c r="BB21">
        <f t="shared" si="5"/>
        <v>1</v>
      </c>
      <c r="BC21">
        <f t="shared" si="10"/>
        <v>1</v>
      </c>
      <c r="BE21">
        <f t="shared" si="6"/>
        <v>0</v>
      </c>
      <c r="BF21">
        <f t="shared" si="6"/>
        <v>0</v>
      </c>
      <c r="BG21">
        <f t="shared" si="6"/>
        <v>0</v>
      </c>
      <c r="BH21">
        <f t="shared" si="6"/>
        <v>0</v>
      </c>
      <c r="BI21">
        <f t="shared" si="6"/>
        <v>0</v>
      </c>
      <c r="BJ21">
        <f t="shared" si="6"/>
        <v>0</v>
      </c>
      <c r="BK21">
        <f t="shared" si="6"/>
        <v>0</v>
      </c>
      <c r="BL21">
        <f t="shared" si="6"/>
        <v>0</v>
      </c>
      <c r="BM21">
        <f t="shared" si="6"/>
        <v>0</v>
      </c>
      <c r="BN21">
        <f t="shared" si="6"/>
        <v>0</v>
      </c>
      <c r="BO21">
        <f t="shared" si="6"/>
        <v>0</v>
      </c>
      <c r="BP21">
        <f t="shared" si="6"/>
        <v>0</v>
      </c>
      <c r="BQ21">
        <f t="shared" si="6"/>
        <v>0</v>
      </c>
      <c r="BR21">
        <f t="shared" si="6"/>
        <v>0</v>
      </c>
      <c r="BS21">
        <f t="shared" si="6"/>
        <v>0</v>
      </c>
      <c r="BT21">
        <f t="shared" si="6"/>
        <v>0</v>
      </c>
      <c r="BU21">
        <f t="shared" si="11"/>
        <v>0</v>
      </c>
      <c r="BW21">
        <f t="shared" si="7"/>
        <v>0</v>
      </c>
      <c r="BX21">
        <f t="shared" si="7"/>
        <v>0</v>
      </c>
      <c r="BY21">
        <f t="shared" si="7"/>
        <v>0</v>
      </c>
      <c r="BZ21">
        <f t="shared" si="7"/>
        <v>1</v>
      </c>
      <c r="CA21">
        <f t="shared" si="7"/>
        <v>1</v>
      </c>
      <c r="CB21">
        <f t="shared" si="7"/>
        <v>0</v>
      </c>
      <c r="CC21">
        <f t="shared" si="7"/>
        <v>0</v>
      </c>
      <c r="CD21">
        <f t="shared" si="7"/>
        <v>0</v>
      </c>
      <c r="CE21">
        <f t="shared" si="7"/>
        <v>0</v>
      </c>
      <c r="CF21">
        <f t="shared" si="7"/>
        <v>0</v>
      </c>
      <c r="CG21">
        <f t="shared" si="7"/>
        <v>0</v>
      </c>
      <c r="CH21">
        <f t="shared" si="7"/>
        <v>0</v>
      </c>
      <c r="CI21">
        <f t="shared" si="7"/>
        <v>0</v>
      </c>
      <c r="CJ21">
        <f t="shared" si="7"/>
        <v>0</v>
      </c>
      <c r="CK21">
        <f t="shared" si="7"/>
        <v>0</v>
      </c>
      <c r="CL21">
        <f t="shared" si="7"/>
        <v>0</v>
      </c>
      <c r="CM21">
        <f t="shared" si="12"/>
        <v>0</v>
      </c>
      <c r="CO21">
        <f t="shared" si="8"/>
        <v>1</v>
      </c>
      <c r="CP21">
        <f t="shared" si="8"/>
        <v>1</v>
      </c>
      <c r="CQ21">
        <f t="shared" si="8"/>
        <v>1</v>
      </c>
      <c r="CR21">
        <f t="shared" si="8"/>
        <v>0</v>
      </c>
      <c r="CS21">
        <f t="shared" si="8"/>
        <v>0</v>
      </c>
      <c r="CT21">
        <f t="shared" si="8"/>
        <v>1</v>
      </c>
      <c r="CU21">
        <f t="shared" si="8"/>
        <v>1</v>
      </c>
      <c r="CV21">
        <f t="shared" si="8"/>
        <v>1</v>
      </c>
      <c r="CW21">
        <f t="shared" si="8"/>
        <v>1</v>
      </c>
      <c r="CX21">
        <f t="shared" si="8"/>
        <v>1</v>
      </c>
      <c r="CY21">
        <f t="shared" si="8"/>
        <v>0</v>
      </c>
      <c r="CZ21">
        <f t="shared" si="8"/>
        <v>1</v>
      </c>
      <c r="DA21">
        <f t="shared" si="8"/>
        <v>1</v>
      </c>
      <c r="DB21">
        <f t="shared" si="8"/>
        <v>0</v>
      </c>
      <c r="DC21">
        <f t="shared" si="8"/>
        <v>1</v>
      </c>
      <c r="DD21">
        <f t="shared" si="8"/>
        <v>0</v>
      </c>
      <c r="DE21">
        <f t="shared" si="13"/>
        <v>1</v>
      </c>
      <c r="DG21">
        <f t="shared" si="9"/>
        <v>0</v>
      </c>
      <c r="DH21">
        <f t="shared" si="9"/>
        <v>0</v>
      </c>
      <c r="DI21">
        <f t="shared" si="9"/>
        <v>0</v>
      </c>
      <c r="DJ21">
        <f t="shared" si="9"/>
        <v>0</v>
      </c>
      <c r="DK21">
        <f t="shared" si="9"/>
        <v>0</v>
      </c>
      <c r="DL21">
        <f t="shared" si="9"/>
        <v>0</v>
      </c>
      <c r="DM21">
        <f t="shared" si="9"/>
        <v>0</v>
      </c>
      <c r="DN21">
        <f t="shared" si="9"/>
        <v>0</v>
      </c>
      <c r="DO21">
        <f t="shared" si="9"/>
        <v>0</v>
      </c>
      <c r="DP21">
        <f t="shared" si="9"/>
        <v>0</v>
      </c>
      <c r="DQ21">
        <f t="shared" si="9"/>
        <v>1</v>
      </c>
      <c r="DR21">
        <f t="shared" si="9"/>
        <v>0</v>
      </c>
      <c r="DS21">
        <f t="shared" si="9"/>
        <v>0</v>
      </c>
      <c r="DT21">
        <f t="shared" si="9"/>
        <v>1</v>
      </c>
      <c r="DU21">
        <f t="shared" si="9"/>
        <v>0</v>
      </c>
      <c r="DV21">
        <f t="shared" si="9"/>
        <v>1</v>
      </c>
      <c r="DW21">
        <f t="shared" si="14"/>
        <v>0</v>
      </c>
    </row>
    <row r="22" spans="1:127" x14ac:dyDescent="0.2">
      <c r="A22" s="20" t="s">
        <v>124</v>
      </c>
      <c r="B22" s="20"/>
      <c r="C22" s="20" t="s">
        <v>53</v>
      </c>
      <c r="D22" s="20" t="s">
        <v>53</v>
      </c>
      <c r="E22" s="20"/>
      <c r="F22" s="20"/>
      <c r="G22" s="20"/>
      <c r="H22" s="20" t="s">
        <v>53</v>
      </c>
      <c r="I22" s="20" t="s">
        <v>53</v>
      </c>
      <c r="J22" s="21" t="s">
        <v>53</v>
      </c>
      <c r="K22" s="20" t="s">
        <v>53</v>
      </c>
      <c r="L22" s="20" t="s">
        <v>53</v>
      </c>
      <c r="M22" s="20" t="s">
        <v>53</v>
      </c>
      <c r="N22" s="20" t="s">
        <v>53</v>
      </c>
      <c r="O22" s="20" t="s">
        <v>53</v>
      </c>
      <c r="P22" s="20" t="s">
        <v>53</v>
      </c>
      <c r="Q22" s="20" t="s">
        <v>53</v>
      </c>
      <c r="R22" s="20" t="s">
        <v>53</v>
      </c>
      <c r="U22" s="20"/>
      <c r="V22" s="20" t="s">
        <v>53</v>
      </c>
      <c r="W22" s="20" t="s">
        <v>53</v>
      </c>
      <c r="X22" s="20"/>
      <c r="Y22" s="20" t="s">
        <v>53</v>
      </c>
      <c r="Z22" s="20" t="s">
        <v>53</v>
      </c>
      <c r="AA22" s="20" t="s">
        <v>53</v>
      </c>
      <c r="AB22" s="20" t="s">
        <v>53</v>
      </c>
      <c r="AC22" s="20" t="s">
        <v>53</v>
      </c>
      <c r="AD22" s="20" t="s">
        <v>53</v>
      </c>
      <c r="AE22" s="20" t="s">
        <v>53</v>
      </c>
      <c r="AF22" s="20" t="s">
        <v>53</v>
      </c>
      <c r="AG22" s="20" t="s">
        <v>53</v>
      </c>
      <c r="AH22" s="20" t="s">
        <v>53</v>
      </c>
      <c r="AI22" s="20" t="s">
        <v>53</v>
      </c>
      <c r="AJ22" s="20" t="s">
        <v>53</v>
      </c>
      <c r="AK22" s="20" t="s">
        <v>53</v>
      </c>
      <c r="AM22">
        <f t="shared" si="5"/>
        <v>1</v>
      </c>
      <c r="AN22">
        <f t="shared" si="5"/>
        <v>1</v>
      </c>
      <c r="AO22">
        <f t="shared" si="5"/>
        <v>1</v>
      </c>
      <c r="AP22">
        <f t="shared" si="5"/>
        <v>1</v>
      </c>
      <c r="AQ22">
        <f t="shared" si="5"/>
        <v>0</v>
      </c>
      <c r="AR22">
        <f t="shared" si="5"/>
        <v>0</v>
      </c>
      <c r="AS22">
        <f t="shared" si="5"/>
        <v>1</v>
      </c>
      <c r="AT22">
        <f t="shared" si="5"/>
        <v>1</v>
      </c>
      <c r="AU22">
        <f t="shared" si="5"/>
        <v>1</v>
      </c>
      <c r="AV22">
        <f t="shared" si="5"/>
        <v>1</v>
      </c>
      <c r="AW22">
        <f t="shared" si="5"/>
        <v>1</v>
      </c>
      <c r="AX22">
        <f t="shared" si="5"/>
        <v>1</v>
      </c>
      <c r="AY22">
        <f t="shared" si="5"/>
        <v>1</v>
      </c>
      <c r="AZ22">
        <f t="shared" si="5"/>
        <v>1</v>
      </c>
      <c r="BA22">
        <f t="shared" si="5"/>
        <v>1</v>
      </c>
      <c r="BB22">
        <f t="shared" si="5"/>
        <v>1</v>
      </c>
      <c r="BC22">
        <f t="shared" si="10"/>
        <v>1</v>
      </c>
      <c r="BE22">
        <f t="shared" si="6"/>
        <v>0</v>
      </c>
      <c r="BF22">
        <f t="shared" si="6"/>
        <v>0</v>
      </c>
      <c r="BG22">
        <f t="shared" si="6"/>
        <v>0</v>
      </c>
      <c r="BH22">
        <f t="shared" si="6"/>
        <v>0</v>
      </c>
      <c r="BI22">
        <f t="shared" si="6"/>
        <v>0</v>
      </c>
      <c r="BJ22">
        <f t="shared" si="6"/>
        <v>0</v>
      </c>
      <c r="BK22">
        <f t="shared" si="6"/>
        <v>0</v>
      </c>
      <c r="BL22">
        <f t="shared" si="6"/>
        <v>0</v>
      </c>
      <c r="BM22">
        <f t="shared" si="6"/>
        <v>0</v>
      </c>
      <c r="BN22">
        <f t="shared" si="6"/>
        <v>0</v>
      </c>
      <c r="BO22">
        <f t="shared" si="6"/>
        <v>0</v>
      </c>
      <c r="BP22">
        <f t="shared" si="6"/>
        <v>0</v>
      </c>
      <c r="BQ22">
        <f t="shared" si="6"/>
        <v>0</v>
      </c>
      <c r="BR22">
        <f t="shared" si="6"/>
        <v>0</v>
      </c>
      <c r="BS22">
        <f t="shared" si="6"/>
        <v>0</v>
      </c>
      <c r="BT22">
        <f t="shared" si="6"/>
        <v>0</v>
      </c>
      <c r="BU22">
        <f t="shared" si="11"/>
        <v>0</v>
      </c>
      <c r="BW22">
        <f t="shared" si="7"/>
        <v>0</v>
      </c>
      <c r="BX22">
        <f t="shared" si="7"/>
        <v>0</v>
      </c>
      <c r="BY22">
        <f t="shared" si="7"/>
        <v>0</v>
      </c>
      <c r="BZ22">
        <f t="shared" si="7"/>
        <v>0</v>
      </c>
      <c r="CA22">
        <f t="shared" si="7"/>
        <v>1</v>
      </c>
      <c r="CB22">
        <f t="shared" si="7"/>
        <v>1</v>
      </c>
      <c r="CC22">
        <f t="shared" si="7"/>
        <v>0</v>
      </c>
      <c r="CD22">
        <f t="shared" si="7"/>
        <v>0</v>
      </c>
      <c r="CE22">
        <f t="shared" si="7"/>
        <v>0</v>
      </c>
      <c r="CF22">
        <f t="shared" si="7"/>
        <v>0</v>
      </c>
      <c r="CG22">
        <f t="shared" si="7"/>
        <v>0</v>
      </c>
      <c r="CH22">
        <f t="shared" si="7"/>
        <v>0</v>
      </c>
      <c r="CI22">
        <f t="shared" si="7"/>
        <v>0</v>
      </c>
      <c r="CJ22">
        <f t="shared" si="7"/>
        <v>0</v>
      </c>
      <c r="CK22">
        <f t="shared" si="7"/>
        <v>0</v>
      </c>
      <c r="CL22">
        <f t="shared" si="7"/>
        <v>0</v>
      </c>
      <c r="CM22">
        <f t="shared" si="12"/>
        <v>0</v>
      </c>
      <c r="CO22">
        <f t="shared" si="8"/>
        <v>0</v>
      </c>
      <c r="CP22">
        <f t="shared" si="8"/>
        <v>1</v>
      </c>
      <c r="CQ22">
        <f t="shared" si="8"/>
        <v>1</v>
      </c>
      <c r="CR22">
        <f t="shared" si="8"/>
        <v>0</v>
      </c>
      <c r="CS22">
        <f t="shared" si="8"/>
        <v>0</v>
      </c>
      <c r="CT22">
        <f t="shared" si="8"/>
        <v>0</v>
      </c>
      <c r="CU22">
        <f t="shared" si="8"/>
        <v>1</v>
      </c>
      <c r="CV22">
        <f t="shared" si="8"/>
        <v>1</v>
      </c>
      <c r="CW22">
        <f t="shared" si="8"/>
        <v>1</v>
      </c>
      <c r="CX22">
        <f t="shared" si="8"/>
        <v>1</v>
      </c>
      <c r="CY22">
        <f t="shared" si="8"/>
        <v>1</v>
      </c>
      <c r="CZ22">
        <f t="shared" si="8"/>
        <v>1</v>
      </c>
      <c r="DA22">
        <f t="shared" si="8"/>
        <v>1</v>
      </c>
      <c r="DB22">
        <f t="shared" si="8"/>
        <v>1</v>
      </c>
      <c r="DC22">
        <f t="shared" si="8"/>
        <v>1</v>
      </c>
      <c r="DD22">
        <f t="shared" si="8"/>
        <v>1</v>
      </c>
      <c r="DE22">
        <f t="shared" si="13"/>
        <v>1</v>
      </c>
      <c r="DG22">
        <f t="shared" si="9"/>
        <v>1</v>
      </c>
      <c r="DH22">
        <f t="shared" si="9"/>
        <v>0</v>
      </c>
      <c r="DI22">
        <f t="shared" si="9"/>
        <v>0</v>
      </c>
      <c r="DJ22">
        <f t="shared" si="9"/>
        <v>1</v>
      </c>
      <c r="DK22">
        <f t="shared" si="9"/>
        <v>0</v>
      </c>
      <c r="DL22">
        <f t="shared" si="9"/>
        <v>0</v>
      </c>
      <c r="DM22">
        <f t="shared" si="9"/>
        <v>0</v>
      </c>
      <c r="DN22">
        <f t="shared" si="9"/>
        <v>0</v>
      </c>
      <c r="DO22">
        <f t="shared" si="9"/>
        <v>0</v>
      </c>
      <c r="DP22">
        <f t="shared" si="9"/>
        <v>0</v>
      </c>
      <c r="DQ22">
        <f t="shared" si="9"/>
        <v>0</v>
      </c>
      <c r="DR22">
        <f t="shared" si="9"/>
        <v>0</v>
      </c>
      <c r="DS22">
        <f t="shared" si="9"/>
        <v>0</v>
      </c>
      <c r="DT22">
        <f t="shared" si="9"/>
        <v>0</v>
      </c>
      <c r="DU22">
        <f t="shared" si="9"/>
        <v>0</v>
      </c>
      <c r="DV22">
        <f t="shared" si="9"/>
        <v>0</v>
      </c>
      <c r="DW22">
        <f t="shared" si="14"/>
        <v>0</v>
      </c>
    </row>
    <row r="23" spans="1:127" x14ac:dyDescent="0.2">
      <c r="A23" s="20" t="s">
        <v>116</v>
      </c>
      <c r="B23" s="20" t="s">
        <v>53</v>
      </c>
      <c r="C23" s="20" t="s">
        <v>53</v>
      </c>
      <c r="D23" s="20" t="s">
        <v>53</v>
      </c>
      <c r="E23" s="20"/>
      <c r="F23" s="20"/>
      <c r="G23" s="20" t="s">
        <v>53</v>
      </c>
      <c r="H23" s="20" t="s">
        <v>53</v>
      </c>
      <c r="I23" s="20" t="s">
        <v>53</v>
      </c>
      <c r="J23" s="21" t="s">
        <v>53</v>
      </c>
      <c r="K23" s="20" t="s">
        <v>53</v>
      </c>
      <c r="L23" s="20" t="s">
        <v>53</v>
      </c>
      <c r="M23" s="20" t="s">
        <v>53</v>
      </c>
      <c r="N23" s="20" t="s">
        <v>53</v>
      </c>
      <c r="O23" s="20"/>
      <c r="P23" s="20" t="s">
        <v>53</v>
      </c>
      <c r="Q23" s="20"/>
      <c r="R23" s="20" t="s">
        <v>53</v>
      </c>
      <c r="U23" s="20" t="s">
        <v>53</v>
      </c>
      <c r="V23" s="20" t="s">
        <v>53</v>
      </c>
      <c r="W23" s="20" t="s">
        <v>53</v>
      </c>
      <c r="X23" s="20"/>
      <c r="Y23" s="20" t="s">
        <v>53</v>
      </c>
      <c r="Z23" s="20" t="s">
        <v>53</v>
      </c>
      <c r="AA23" s="20" t="s">
        <v>53</v>
      </c>
      <c r="AB23" s="20" t="s">
        <v>53</v>
      </c>
      <c r="AC23" s="20" t="s">
        <v>53</v>
      </c>
      <c r="AD23" s="20" t="s">
        <v>53</v>
      </c>
      <c r="AE23" s="20" t="s">
        <v>53</v>
      </c>
      <c r="AF23" s="20" t="s">
        <v>53</v>
      </c>
      <c r="AG23" s="20" t="s">
        <v>53</v>
      </c>
      <c r="AH23" s="20"/>
      <c r="AI23" s="20" t="s">
        <v>53</v>
      </c>
      <c r="AJ23" s="20" t="s">
        <v>53</v>
      </c>
      <c r="AK23" s="20" t="s">
        <v>53</v>
      </c>
      <c r="AM23">
        <f t="shared" si="5"/>
        <v>1</v>
      </c>
      <c r="AN23">
        <f t="shared" si="5"/>
        <v>1</v>
      </c>
      <c r="AO23">
        <f t="shared" si="5"/>
        <v>1</v>
      </c>
      <c r="AP23">
        <f t="shared" si="5"/>
        <v>1</v>
      </c>
      <c r="AQ23">
        <f t="shared" si="5"/>
        <v>0</v>
      </c>
      <c r="AR23">
        <f t="shared" si="5"/>
        <v>1</v>
      </c>
      <c r="AS23">
        <f t="shared" si="5"/>
        <v>1</v>
      </c>
      <c r="AT23">
        <f t="shared" si="5"/>
        <v>1</v>
      </c>
      <c r="AU23">
        <f t="shared" si="5"/>
        <v>1</v>
      </c>
      <c r="AV23">
        <f t="shared" si="5"/>
        <v>1</v>
      </c>
      <c r="AW23">
        <f t="shared" si="5"/>
        <v>1</v>
      </c>
      <c r="AX23">
        <f t="shared" si="5"/>
        <v>1</v>
      </c>
      <c r="AY23">
        <f t="shared" si="5"/>
        <v>1</v>
      </c>
      <c r="AZ23">
        <f t="shared" si="5"/>
        <v>1</v>
      </c>
      <c r="BA23">
        <f t="shared" si="5"/>
        <v>1</v>
      </c>
      <c r="BB23">
        <f t="shared" si="5"/>
        <v>0</v>
      </c>
      <c r="BC23">
        <f t="shared" si="10"/>
        <v>1</v>
      </c>
      <c r="BE23">
        <f t="shared" si="6"/>
        <v>0</v>
      </c>
      <c r="BF23">
        <f t="shared" si="6"/>
        <v>0</v>
      </c>
      <c r="BG23">
        <f t="shared" si="6"/>
        <v>0</v>
      </c>
      <c r="BH23">
        <f t="shared" si="6"/>
        <v>0</v>
      </c>
      <c r="BI23">
        <f t="shared" si="6"/>
        <v>0</v>
      </c>
      <c r="BJ23">
        <f t="shared" si="6"/>
        <v>0</v>
      </c>
      <c r="BK23">
        <f t="shared" si="6"/>
        <v>0</v>
      </c>
      <c r="BL23">
        <f t="shared" si="6"/>
        <v>0</v>
      </c>
      <c r="BM23">
        <f t="shared" si="6"/>
        <v>0</v>
      </c>
      <c r="BN23">
        <f t="shared" si="6"/>
        <v>0</v>
      </c>
      <c r="BO23">
        <f t="shared" si="6"/>
        <v>0</v>
      </c>
      <c r="BP23">
        <f t="shared" si="6"/>
        <v>0</v>
      </c>
      <c r="BQ23">
        <f t="shared" si="6"/>
        <v>0</v>
      </c>
      <c r="BR23">
        <f t="shared" si="6"/>
        <v>0</v>
      </c>
      <c r="BS23">
        <f t="shared" si="6"/>
        <v>0</v>
      </c>
      <c r="BT23">
        <f t="shared" si="6"/>
        <v>0</v>
      </c>
      <c r="BU23">
        <f t="shared" si="11"/>
        <v>0</v>
      </c>
      <c r="BW23">
        <f t="shared" si="7"/>
        <v>0</v>
      </c>
      <c r="BX23">
        <f t="shared" si="7"/>
        <v>0</v>
      </c>
      <c r="BY23">
        <f t="shared" si="7"/>
        <v>0</v>
      </c>
      <c r="BZ23">
        <f t="shared" si="7"/>
        <v>0</v>
      </c>
      <c r="CA23">
        <f t="shared" si="7"/>
        <v>1</v>
      </c>
      <c r="CB23">
        <f t="shared" si="7"/>
        <v>0</v>
      </c>
      <c r="CC23">
        <f t="shared" si="7"/>
        <v>0</v>
      </c>
      <c r="CD23">
        <f t="shared" si="7"/>
        <v>0</v>
      </c>
      <c r="CE23">
        <f t="shared" si="7"/>
        <v>0</v>
      </c>
      <c r="CF23">
        <f t="shared" si="7"/>
        <v>0</v>
      </c>
      <c r="CG23">
        <f t="shared" si="7"/>
        <v>0</v>
      </c>
      <c r="CH23">
        <f t="shared" si="7"/>
        <v>0</v>
      </c>
      <c r="CI23">
        <f t="shared" si="7"/>
        <v>0</v>
      </c>
      <c r="CJ23">
        <f t="shared" si="7"/>
        <v>0</v>
      </c>
      <c r="CK23">
        <f t="shared" si="7"/>
        <v>0</v>
      </c>
      <c r="CL23">
        <f t="shared" si="7"/>
        <v>1</v>
      </c>
      <c r="CM23">
        <f t="shared" si="12"/>
        <v>0</v>
      </c>
      <c r="CO23">
        <f t="shared" si="8"/>
        <v>1</v>
      </c>
      <c r="CP23">
        <f t="shared" si="8"/>
        <v>1</v>
      </c>
      <c r="CQ23">
        <f t="shared" si="8"/>
        <v>1</v>
      </c>
      <c r="CR23">
        <f t="shared" si="8"/>
        <v>0</v>
      </c>
      <c r="CS23">
        <f t="shared" si="8"/>
        <v>0</v>
      </c>
      <c r="CT23">
        <f t="shared" si="8"/>
        <v>1</v>
      </c>
      <c r="CU23">
        <f t="shared" si="8"/>
        <v>1</v>
      </c>
      <c r="CV23">
        <f t="shared" si="8"/>
        <v>1</v>
      </c>
      <c r="CW23">
        <f t="shared" si="8"/>
        <v>1</v>
      </c>
      <c r="CX23">
        <f t="shared" si="8"/>
        <v>1</v>
      </c>
      <c r="CY23">
        <f t="shared" si="8"/>
        <v>1</v>
      </c>
      <c r="CZ23">
        <f t="shared" si="8"/>
        <v>1</v>
      </c>
      <c r="DA23">
        <f t="shared" si="8"/>
        <v>1</v>
      </c>
      <c r="DB23">
        <f t="shared" si="8"/>
        <v>0</v>
      </c>
      <c r="DC23">
        <f t="shared" si="8"/>
        <v>1</v>
      </c>
      <c r="DD23">
        <f t="shared" si="8"/>
        <v>0</v>
      </c>
      <c r="DE23">
        <f t="shared" si="13"/>
        <v>1</v>
      </c>
      <c r="DG23">
        <f t="shared" si="9"/>
        <v>0</v>
      </c>
      <c r="DH23">
        <f t="shared" si="9"/>
        <v>0</v>
      </c>
      <c r="DI23">
        <f t="shared" si="9"/>
        <v>0</v>
      </c>
      <c r="DJ23">
        <f t="shared" si="9"/>
        <v>1</v>
      </c>
      <c r="DK23">
        <f t="shared" si="9"/>
        <v>0</v>
      </c>
      <c r="DL23">
        <f t="shared" si="9"/>
        <v>0</v>
      </c>
      <c r="DM23">
        <f t="shared" si="9"/>
        <v>0</v>
      </c>
      <c r="DN23">
        <f t="shared" si="9"/>
        <v>0</v>
      </c>
      <c r="DO23">
        <f t="shared" si="9"/>
        <v>0</v>
      </c>
      <c r="DP23">
        <f t="shared" si="9"/>
        <v>0</v>
      </c>
      <c r="DQ23">
        <f t="shared" si="9"/>
        <v>0</v>
      </c>
      <c r="DR23">
        <f t="shared" si="9"/>
        <v>0</v>
      </c>
      <c r="DS23">
        <f t="shared" si="9"/>
        <v>0</v>
      </c>
      <c r="DT23">
        <f t="shared" si="9"/>
        <v>1</v>
      </c>
      <c r="DU23">
        <f t="shared" si="9"/>
        <v>0</v>
      </c>
      <c r="DV23">
        <f t="shared" si="9"/>
        <v>0</v>
      </c>
      <c r="DW23">
        <f t="shared" si="14"/>
        <v>0</v>
      </c>
    </row>
    <row r="24" spans="1:127" x14ac:dyDescent="0.2">
      <c r="A24" s="20" t="s">
        <v>117</v>
      </c>
      <c r="B24" s="20" t="s">
        <v>53</v>
      </c>
      <c r="C24" s="20" t="s">
        <v>53</v>
      </c>
      <c r="D24" s="20" t="s">
        <v>53</v>
      </c>
      <c r="E24" s="20" t="s">
        <v>53</v>
      </c>
      <c r="F24" s="20" t="s">
        <v>53</v>
      </c>
      <c r="G24" s="20" t="s">
        <v>53</v>
      </c>
      <c r="H24" s="20" t="s">
        <v>53</v>
      </c>
      <c r="I24" s="20" t="s">
        <v>53</v>
      </c>
      <c r="J24" s="21" t="s">
        <v>53</v>
      </c>
      <c r="K24" s="20" t="s">
        <v>53</v>
      </c>
      <c r="L24" s="20"/>
      <c r="M24" s="20" t="s">
        <v>53</v>
      </c>
      <c r="N24" s="20"/>
      <c r="O24" s="20"/>
      <c r="P24" s="20" t="s">
        <v>53</v>
      </c>
      <c r="Q24" s="20"/>
      <c r="R24" s="20" t="s">
        <v>53</v>
      </c>
      <c r="U24" s="20" t="s">
        <v>53</v>
      </c>
      <c r="V24" s="20" t="s">
        <v>53</v>
      </c>
      <c r="W24" s="20" t="s">
        <v>53</v>
      </c>
      <c r="X24" s="20" t="s">
        <v>53</v>
      </c>
      <c r="Y24" s="20" t="s">
        <v>53</v>
      </c>
      <c r="Z24" s="20" t="s">
        <v>53</v>
      </c>
      <c r="AA24" s="20" t="s">
        <v>53</v>
      </c>
      <c r="AB24" s="20" t="s">
        <v>53</v>
      </c>
      <c r="AC24" s="20" t="s">
        <v>53</v>
      </c>
      <c r="AD24" s="20" t="s">
        <v>53</v>
      </c>
      <c r="AE24" s="20" t="s">
        <v>53</v>
      </c>
      <c r="AF24" s="20" t="s">
        <v>53</v>
      </c>
      <c r="AG24" s="20"/>
      <c r="AH24" s="20"/>
      <c r="AI24" s="20" t="s">
        <v>53</v>
      </c>
      <c r="AJ24" s="20"/>
      <c r="AK24" s="20" t="s">
        <v>53</v>
      </c>
      <c r="AM24">
        <f t="shared" si="5"/>
        <v>1</v>
      </c>
      <c r="AN24">
        <f t="shared" si="5"/>
        <v>1</v>
      </c>
      <c r="AO24">
        <f t="shared" si="5"/>
        <v>1</v>
      </c>
      <c r="AP24">
        <f t="shared" si="5"/>
        <v>1</v>
      </c>
      <c r="AQ24">
        <f t="shared" si="5"/>
        <v>1</v>
      </c>
      <c r="AR24">
        <f t="shared" si="5"/>
        <v>1</v>
      </c>
      <c r="AS24">
        <f t="shared" si="5"/>
        <v>1</v>
      </c>
      <c r="AT24">
        <f t="shared" si="5"/>
        <v>1</v>
      </c>
      <c r="AU24">
        <f t="shared" si="5"/>
        <v>1</v>
      </c>
      <c r="AV24">
        <f t="shared" si="5"/>
        <v>1</v>
      </c>
      <c r="AW24">
        <f t="shared" si="5"/>
        <v>0</v>
      </c>
      <c r="AX24">
        <f t="shared" si="5"/>
        <v>1</v>
      </c>
      <c r="AY24">
        <f t="shared" si="5"/>
        <v>1</v>
      </c>
      <c r="AZ24">
        <f t="shared" si="5"/>
        <v>1</v>
      </c>
      <c r="BA24">
        <f t="shared" si="5"/>
        <v>1</v>
      </c>
      <c r="BB24">
        <f t="shared" si="5"/>
        <v>1</v>
      </c>
      <c r="BC24">
        <f t="shared" si="10"/>
        <v>1</v>
      </c>
      <c r="BE24">
        <f t="shared" si="6"/>
        <v>0</v>
      </c>
      <c r="BF24">
        <f t="shared" si="6"/>
        <v>0</v>
      </c>
      <c r="BG24">
        <f t="shared" si="6"/>
        <v>0</v>
      </c>
      <c r="BH24">
        <f t="shared" si="6"/>
        <v>0</v>
      </c>
      <c r="BI24">
        <f t="shared" si="6"/>
        <v>0</v>
      </c>
      <c r="BJ24">
        <f t="shared" si="6"/>
        <v>0</v>
      </c>
      <c r="BK24">
        <f t="shared" si="6"/>
        <v>0</v>
      </c>
      <c r="BL24">
        <f t="shared" si="6"/>
        <v>0</v>
      </c>
      <c r="BM24">
        <f t="shared" si="6"/>
        <v>0</v>
      </c>
      <c r="BN24">
        <f t="shared" si="6"/>
        <v>0</v>
      </c>
      <c r="BO24">
        <f t="shared" si="6"/>
        <v>0</v>
      </c>
      <c r="BP24">
        <f t="shared" si="6"/>
        <v>0</v>
      </c>
      <c r="BQ24">
        <f t="shared" si="6"/>
        <v>0</v>
      </c>
      <c r="BR24">
        <f t="shared" si="6"/>
        <v>0</v>
      </c>
      <c r="BS24">
        <f t="shared" si="6"/>
        <v>0</v>
      </c>
      <c r="BT24">
        <f t="shared" si="6"/>
        <v>0</v>
      </c>
      <c r="BU24">
        <f t="shared" si="11"/>
        <v>0</v>
      </c>
      <c r="BW24">
        <f t="shared" si="7"/>
        <v>0</v>
      </c>
      <c r="BX24">
        <f t="shared" si="7"/>
        <v>0</v>
      </c>
      <c r="BY24">
        <f t="shared" si="7"/>
        <v>0</v>
      </c>
      <c r="BZ24">
        <f t="shared" si="7"/>
        <v>0</v>
      </c>
      <c r="CA24">
        <f t="shared" si="7"/>
        <v>0</v>
      </c>
      <c r="CB24">
        <f t="shared" si="7"/>
        <v>0</v>
      </c>
      <c r="CC24">
        <f t="shared" si="7"/>
        <v>0</v>
      </c>
      <c r="CD24">
        <f t="shared" si="7"/>
        <v>0</v>
      </c>
      <c r="CE24">
        <f t="shared" si="7"/>
        <v>0</v>
      </c>
      <c r="CF24">
        <f t="shared" si="7"/>
        <v>0</v>
      </c>
      <c r="CG24">
        <f t="shared" si="7"/>
        <v>1</v>
      </c>
      <c r="CH24">
        <f t="shared" si="7"/>
        <v>0</v>
      </c>
      <c r="CI24">
        <f t="shared" si="7"/>
        <v>0</v>
      </c>
      <c r="CJ24">
        <f t="shared" si="7"/>
        <v>0</v>
      </c>
      <c r="CK24">
        <f t="shared" si="7"/>
        <v>0</v>
      </c>
      <c r="CL24">
        <f t="shared" si="7"/>
        <v>0</v>
      </c>
      <c r="CM24">
        <f t="shared" si="12"/>
        <v>0</v>
      </c>
      <c r="CO24">
        <f t="shared" si="8"/>
        <v>1</v>
      </c>
      <c r="CP24">
        <f t="shared" si="8"/>
        <v>1</v>
      </c>
      <c r="CQ24">
        <f t="shared" si="8"/>
        <v>1</v>
      </c>
      <c r="CR24">
        <f t="shared" si="8"/>
        <v>1</v>
      </c>
      <c r="CS24">
        <f t="shared" si="8"/>
        <v>1</v>
      </c>
      <c r="CT24">
        <f t="shared" si="8"/>
        <v>1</v>
      </c>
      <c r="CU24">
        <f t="shared" si="8"/>
        <v>1</v>
      </c>
      <c r="CV24">
        <f t="shared" si="8"/>
        <v>1</v>
      </c>
      <c r="CW24">
        <f t="shared" si="8"/>
        <v>1</v>
      </c>
      <c r="CX24">
        <f t="shared" si="8"/>
        <v>1</v>
      </c>
      <c r="CY24">
        <f t="shared" si="8"/>
        <v>0</v>
      </c>
      <c r="CZ24">
        <f t="shared" si="8"/>
        <v>1</v>
      </c>
      <c r="DA24">
        <f t="shared" si="8"/>
        <v>0</v>
      </c>
      <c r="DB24">
        <f t="shared" si="8"/>
        <v>0</v>
      </c>
      <c r="DC24">
        <f t="shared" si="8"/>
        <v>1</v>
      </c>
      <c r="DD24">
        <f t="shared" si="8"/>
        <v>0</v>
      </c>
      <c r="DE24">
        <f t="shared" si="13"/>
        <v>1</v>
      </c>
      <c r="DG24">
        <f t="shared" si="9"/>
        <v>0</v>
      </c>
      <c r="DH24">
        <f t="shared" si="9"/>
        <v>0</v>
      </c>
      <c r="DI24">
        <f t="shared" si="9"/>
        <v>0</v>
      </c>
      <c r="DJ24">
        <f t="shared" si="9"/>
        <v>0</v>
      </c>
      <c r="DK24">
        <f t="shared" si="9"/>
        <v>0</v>
      </c>
      <c r="DL24">
        <f t="shared" si="9"/>
        <v>0</v>
      </c>
      <c r="DM24">
        <f t="shared" si="9"/>
        <v>0</v>
      </c>
      <c r="DN24">
        <f t="shared" si="9"/>
        <v>0</v>
      </c>
      <c r="DO24">
        <f t="shared" si="9"/>
        <v>0</v>
      </c>
      <c r="DP24">
        <f t="shared" si="9"/>
        <v>0</v>
      </c>
      <c r="DQ24">
        <f t="shared" si="9"/>
        <v>0</v>
      </c>
      <c r="DR24">
        <f t="shared" si="9"/>
        <v>0</v>
      </c>
      <c r="DS24">
        <f t="shared" si="9"/>
        <v>1</v>
      </c>
      <c r="DT24">
        <f t="shared" si="9"/>
        <v>1</v>
      </c>
      <c r="DU24">
        <f t="shared" si="9"/>
        <v>0</v>
      </c>
      <c r="DV24">
        <f t="shared" si="9"/>
        <v>1</v>
      </c>
      <c r="DW24">
        <f t="shared" si="14"/>
        <v>0</v>
      </c>
    </row>
    <row r="25" spans="1:127" x14ac:dyDescent="0.2">
      <c r="A25" s="20" t="s">
        <v>118</v>
      </c>
      <c r="B25" s="20" t="s">
        <v>53</v>
      </c>
      <c r="C25" s="20" t="s">
        <v>53</v>
      </c>
      <c r="D25" s="20" t="s">
        <v>53</v>
      </c>
      <c r="E25" s="20" t="s">
        <v>53</v>
      </c>
      <c r="F25" s="20" t="s">
        <v>53</v>
      </c>
      <c r="G25" s="20" t="s">
        <v>53</v>
      </c>
      <c r="H25" s="20" t="s">
        <v>53</v>
      </c>
      <c r="I25" s="20" t="s">
        <v>53</v>
      </c>
      <c r="J25" s="21" t="s">
        <v>53</v>
      </c>
      <c r="K25" s="20" t="s">
        <v>53</v>
      </c>
      <c r="L25" s="20"/>
      <c r="M25" s="20" t="s">
        <v>53</v>
      </c>
      <c r="N25" s="20" t="s">
        <v>53</v>
      </c>
      <c r="O25" s="20" t="s">
        <v>53</v>
      </c>
      <c r="P25" s="20" t="s">
        <v>53</v>
      </c>
      <c r="Q25" s="20" t="s">
        <v>53</v>
      </c>
      <c r="R25" s="20" t="s">
        <v>53</v>
      </c>
      <c r="U25" s="20" t="s">
        <v>53</v>
      </c>
      <c r="V25" s="20" t="s">
        <v>53</v>
      </c>
      <c r="W25" s="20" t="s">
        <v>53</v>
      </c>
      <c r="X25" s="20" t="s">
        <v>53</v>
      </c>
      <c r="Y25" s="20" t="s">
        <v>53</v>
      </c>
      <c r="Z25" s="20" t="s">
        <v>53</v>
      </c>
      <c r="AA25" s="20" t="s">
        <v>53</v>
      </c>
      <c r="AB25" s="20" t="s">
        <v>53</v>
      </c>
      <c r="AC25" s="20" t="s">
        <v>53</v>
      </c>
      <c r="AD25" s="20" t="s">
        <v>53</v>
      </c>
      <c r="AE25" s="20" t="s">
        <v>53</v>
      </c>
      <c r="AF25" s="20" t="s">
        <v>53</v>
      </c>
      <c r="AG25" s="20" t="s">
        <v>53</v>
      </c>
      <c r="AH25" s="20" t="s">
        <v>53</v>
      </c>
      <c r="AI25" s="20" t="s">
        <v>53</v>
      </c>
      <c r="AJ25" s="20" t="s">
        <v>53</v>
      </c>
      <c r="AK25" s="20" t="s">
        <v>53</v>
      </c>
      <c r="AM25">
        <f t="shared" si="5"/>
        <v>1</v>
      </c>
      <c r="AN25">
        <f t="shared" si="5"/>
        <v>1</v>
      </c>
      <c r="AO25">
        <f t="shared" si="5"/>
        <v>1</v>
      </c>
      <c r="AP25">
        <f t="shared" si="5"/>
        <v>1</v>
      </c>
      <c r="AQ25">
        <f t="shared" si="5"/>
        <v>1</v>
      </c>
      <c r="AR25">
        <f t="shared" si="5"/>
        <v>1</v>
      </c>
      <c r="AS25">
        <f t="shared" si="5"/>
        <v>1</v>
      </c>
      <c r="AT25">
        <f t="shared" si="5"/>
        <v>1</v>
      </c>
      <c r="AU25">
        <f t="shared" si="5"/>
        <v>1</v>
      </c>
      <c r="AV25">
        <f t="shared" si="5"/>
        <v>1</v>
      </c>
      <c r="AW25">
        <f t="shared" si="5"/>
        <v>0</v>
      </c>
      <c r="AX25">
        <f t="shared" si="5"/>
        <v>1</v>
      </c>
      <c r="AY25">
        <f t="shared" si="5"/>
        <v>1</v>
      </c>
      <c r="AZ25">
        <f t="shared" si="5"/>
        <v>1</v>
      </c>
      <c r="BA25">
        <f t="shared" si="5"/>
        <v>1</v>
      </c>
      <c r="BB25">
        <f t="shared" si="5"/>
        <v>1</v>
      </c>
      <c r="BC25">
        <f t="shared" si="10"/>
        <v>1</v>
      </c>
      <c r="BE25">
        <f t="shared" si="6"/>
        <v>0</v>
      </c>
      <c r="BF25">
        <f t="shared" si="6"/>
        <v>0</v>
      </c>
      <c r="BG25">
        <f t="shared" si="6"/>
        <v>0</v>
      </c>
      <c r="BH25">
        <f t="shared" si="6"/>
        <v>0</v>
      </c>
      <c r="BI25">
        <f t="shared" si="6"/>
        <v>0</v>
      </c>
      <c r="BJ25">
        <f t="shared" si="6"/>
        <v>0</v>
      </c>
      <c r="BK25">
        <f t="shared" si="6"/>
        <v>0</v>
      </c>
      <c r="BL25">
        <f t="shared" si="6"/>
        <v>0</v>
      </c>
      <c r="BM25">
        <f t="shared" si="6"/>
        <v>0</v>
      </c>
      <c r="BN25">
        <f t="shared" si="6"/>
        <v>0</v>
      </c>
      <c r="BO25">
        <f t="shared" si="6"/>
        <v>0</v>
      </c>
      <c r="BP25">
        <f t="shared" si="6"/>
        <v>0</v>
      </c>
      <c r="BQ25">
        <f t="shared" si="6"/>
        <v>0</v>
      </c>
      <c r="BR25">
        <f t="shared" si="6"/>
        <v>0</v>
      </c>
      <c r="BS25">
        <f t="shared" si="6"/>
        <v>0</v>
      </c>
      <c r="BT25">
        <f t="shared" si="6"/>
        <v>0</v>
      </c>
      <c r="BU25">
        <f t="shared" si="11"/>
        <v>0</v>
      </c>
      <c r="BW25">
        <f t="shared" si="7"/>
        <v>0</v>
      </c>
      <c r="BX25">
        <f t="shared" si="7"/>
        <v>0</v>
      </c>
      <c r="BY25">
        <f t="shared" si="7"/>
        <v>0</v>
      </c>
      <c r="BZ25">
        <f t="shared" si="7"/>
        <v>0</v>
      </c>
      <c r="CA25">
        <f t="shared" si="7"/>
        <v>0</v>
      </c>
      <c r="CB25">
        <f t="shared" si="7"/>
        <v>0</v>
      </c>
      <c r="CC25">
        <f t="shared" si="7"/>
        <v>0</v>
      </c>
      <c r="CD25">
        <f t="shared" si="7"/>
        <v>0</v>
      </c>
      <c r="CE25">
        <f t="shared" si="7"/>
        <v>0</v>
      </c>
      <c r="CF25">
        <f t="shared" si="7"/>
        <v>0</v>
      </c>
      <c r="CG25">
        <f t="shared" si="7"/>
        <v>1</v>
      </c>
      <c r="CH25">
        <f t="shared" si="7"/>
        <v>0</v>
      </c>
      <c r="CI25">
        <f t="shared" si="7"/>
        <v>0</v>
      </c>
      <c r="CJ25">
        <f t="shared" si="7"/>
        <v>0</v>
      </c>
      <c r="CK25">
        <f t="shared" si="7"/>
        <v>0</v>
      </c>
      <c r="CL25">
        <f t="shared" si="7"/>
        <v>0</v>
      </c>
      <c r="CM25">
        <f t="shared" si="12"/>
        <v>0</v>
      </c>
      <c r="CO25">
        <f t="shared" si="8"/>
        <v>1</v>
      </c>
      <c r="CP25">
        <f t="shared" si="8"/>
        <v>1</v>
      </c>
      <c r="CQ25">
        <f t="shared" si="8"/>
        <v>1</v>
      </c>
      <c r="CR25">
        <f t="shared" si="8"/>
        <v>1</v>
      </c>
      <c r="CS25">
        <f t="shared" si="8"/>
        <v>1</v>
      </c>
      <c r="CT25">
        <f t="shared" si="8"/>
        <v>1</v>
      </c>
      <c r="CU25">
        <f t="shared" si="8"/>
        <v>1</v>
      </c>
      <c r="CV25">
        <f t="shared" si="8"/>
        <v>1</v>
      </c>
      <c r="CW25">
        <f t="shared" si="8"/>
        <v>1</v>
      </c>
      <c r="CX25">
        <f t="shared" si="8"/>
        <v>1</v>
      </c>
      <c r="CY25">
        <f t="shared" si="8"/>
        <v>0</v>
      </c>
      <c r="CZ25">
        <f t="shared" si="8"/>
        <v>1</v>
      </c>
      <c r="DA25">
        <f t="shared" si="8"/>
        <v>1</v>
      </c>
      <c r="DB25">
        <f t="shared" si="8"/>
        <v>1</v>
      </c>
      <c r="DC25">
        <f t="shared" si="8"/>
        <v>1</v>
      </c>
      <c r="DD25">
        <f t="shared" si="8"/>
        <v>1</v>
      </c>
      <c r="DE25">
        <f t="shared" si="13"/>
        <v>1</v>
      </c>
      <c r="DG25">
        <f t="shared" si="9"/>
        <v>0</v>
      </c>
      <c r="DH25">
        <f t="shared" si="9"/>
        <v>0</v>
      </c>
      <c r="DI25">
        <f t="shared" si="9"/>
        <v>0</v>
      </c>
      <c r="DJ25">
        <f t="shared" si="9"/>
        <v>0</v>
      </c>
      <c r="DK25">
        <f t="shared" si="9"/>
        <v>0</v>
      </c>
      <c r="DL25">
        <f t="shared" si="9"/>
        <v>0</v>
      </c>
      <c r="DM25">
        <f t="shared" si="9"/>
        <v>0</v>
      </c>
      <c r="DN25">
        <f t="shared" si="9"/>
        <v>0</v>
      </c>
      <c r="DO25">
        <f t="shared" si="9"/>
        <v>0</v>
      </c>
      <c r="DP25">
        <f t="shared" si="9"/>
        <v>0</v>
      </c>
      <c r="DQ25">
        <f t="shared" si="9"/>
        <v>0</v>
      </c>
      <c r="DR25">
        <f t="shared" si="9"/>
        <v>0</v>
      </c>
      <c r="DS25">
        <f t="shared" si="9"/>
        <v>0</v>
      </c>
      <c r="DT25">
        <f t="shared" si="9"/>
        <v>0</v>
      </c>
      <c r="DU25">
        <f t="shared" si="9"/>
        <v>0</v>
      </c>
      <c r="DV25">
        <f t="shared" si="9"/>
        <v>0</v>
      </c>
      <c r="DW25">
        <f t="shared" si="14"/>
        <v>0</v>
      </c>
    </row>
    <row r="26" spans="1:127" x14ac:dyDescent="0.2">
      <c r="A26" s="20" t="s">
        <v>121</v>
      </c>
      <c r="B26" s="20" t="s">
        <v>53</v>
      </c>
      <c r="C26" s="20" t="s">
        <v>53</v>
      </c>
      <c r="D26" s="20" t="s">
        <v>53</v>
      </c>
      <c r="E26" s="20" t="s">
        <v>53</v>
      </c>
      <c r="F26" s="20" t="s">
        <v>53</v>
      </c>
      <c r="G26" s="20" t="s">
        <v>53</v>
      </c>
      <c r="H26" s="20" t="s">
        <v>53</v>
      </c>
      <c r="I26" s="20" t="s">
        <v>53</v>
      </c>
      <c r="J26" s="21" t="s">
        <v>53</v>
      </c>
      <c r="K26" s="20" t="s">
        <v>53</v>
      </c>
      <c r="L26" s="20"/>
      <c r="M26" s="20"/>
      <c r="N26" s="20" t="s">
        <v>53</v>
      </c>
      <c r="O26" s="20" t="s">
        <v>53</v>
      </c>
      <c r="P26" s="20" t="s">
        <v>53</v>
      </c>
      <c r="Q26" s="20"/>
      <c r="R26" s="20" t="s">
        <v>53</v>
      </c>
      <c r="U26" s="20" t="s">
        <v>53</v>
      </c>
      <c r="V26" s="20" t="s">
        <v>53</v>
      </c>
      <c r="W26" s="20" t="s">
        <v>53</v>
      </c>
      <c r="X26" s="20" t="s">
        <v>53</v>
      </c>
      <c r="Y26" s="20" t="s">
        <v>53</v>
      </c>
      <c r="Z26" s="20" t="s">
        <v>53</v>
      </c>
      <c r="AA26" s="20" t="s">
        <v>53</v>
      </c>
      <c r="AB26" s="20" t="s">
        <v>53</v>
      </c>
      <c r="AC26" s="20" t="s">
        <v>53</v>
      </c>
      <c r="AD26" s="20" t="s">
        <v>53</v>
      </c>
      <c r="AE26" s="20" t="s">
        <v>53</v>
      </c>
      <c r="AF26" s="20" t="s">
        <v>53</v>
      </c>
      <c r="AG26" s="20" t="s">
        <v>53</v>
      </c>
      <c r="AH26" s="20" t="s">
        <v>53</v>
      </c>
      <c r="AI26" s="20" t="s">
        <v>53</v>
      </c>
      <c r="AJ26" s="20"/>
      <c r="AK26" s="20" t="s">
        <v>53</v>
      </c>
      <c r="AM26">
        <f t="shared" si="5"/>
        <v>1</v>
      </c>
      <c r="AN26">
        <f t="shared" si="5"/>
        <v>1</v>
      </c>
      <c r="AO26">
        <f t="shared" si="5"/>
        <v>1</v>
      </c>
      <c r="AP26">
        <f t="shared" si="5"/>
        <v>1</v>
      </c>
      <c r="AQ26">
        <f t="shared" si="5"/>
        <v>1</v>
      </c>
      <c r="AR26">
        <f t="shared" si="5"/>
        <v>1</v>
      </c>
      <c r="AS26">
        <f t="shared" si="5"/>
        <v>1</v>
      </c>
      <c r="AT26">
        <f t="shared" si="5"/>
        <v>1</v>
      </c>
      <c r="AU26">
        <f t="shared" si="5"/>
        <v>1</v>
      </c>
      <c r="AV26">
        <f t="shared" si="5"/>
        <v>1</v>
      </c>
      <c r="AW26">
        <f t="shared" si="5"/>
        <v>0</v>
      </c>
      <c r="AX26">
        <f t="shared" si="5"/>
        <v>0</v>
      </c>
      <c r="AY26">
        <f t="shared" si="5"/>
        <v>1</v>
      </c>
      <c r="AZ26">
        <f t="shared" si="5"/>
        <v>1</v>
      </c>
      <c r="BA26">
        <f t="shared" si="5"/>
        <v>1</v>
      </c>
      <c r="BB26">
        <f t="shared" si="5"/>
        <v>1</v>
      </c>
      <c r="BC26">
        <f t="shared" si="10"/>
        <v>1</v>
      </c>
      <c r="BE26">
        <f t="shared" si="6"/>
        <v>0</v>
      </c>
      <c r="BF26">
        <f t="shared" si="6"/>
        <v>0</v>
      </c>
      <c r="BG26">
        <f t="shared" si="6"/>
        <v>0</v>
      </c>
      <c r="BH26">
        <f t="shared" si="6"/>
        <v>0</v>
      </c>
      <c r="BI26">
        <f t="shared" si="6"/>
        <v>0</v>
      </c>
      <c r="BJ26">
        <f t="shared" si="6"/>
        <v>0</v>
      </c>
      <c r="BK26">
        <f t="shared" si="6"/>
        <v>0</v>
      </c>
      <c r="BL26">
        <f t="shared" si="6"/>
        <v>0</v>
      </c>
      <c r="BM26">
        <f t="shared" si="6"/>
        <v>0</v>
      </c>
      <c r="BN26">
        <f t="shared" si="6"/>
        <v>0</v>
      </c>
      <c r="BO26">
        <f t="shared" si="6"/>
        <v>0</v>
      </c>
      <c r="BP26">
        <f t="shared" si="6"/>
        <v>0</v>
      </c>
      <c r="BQ26">
        <f t="shared" si="6"/>
        <v>0</v>
      </c>
      <c r="BR26">
        <f t="shared" si="6"/>
        <v>0</v>
      </c>
      <c r="BS26">
        <f t="shared" si="6"/>
        <v>0</v>
      </c>
      <c r="BT26">
        <f t="shared" si="6"/>
        <v>0</v>
      </c>
      <c r="BU26">
        <f t="shared" si="11"/>
        <v>0</v>
      </c>
      <c r="BW26">
        <f t="shared" si="7"/>
        <v>0</v>
      </c>
      <c r="BX26">
        <f t="shared" si="7"/>
        <v>0</v>
      </c>
      <c r="BY26">
        <f t="shared" si="7"/>
        <v>0</v>
      </c>
      <c r="BZ26">
        <f t="shared" si="7"/>
        <v>0</v>
      </c>
      <c r="CA26">
        <f t="shared" si="7"/>
        <v>0</v>
      </c>
      <c r="CB26">
        <f t="shared" si="7"/>
        <v>0</v>
      </c>
      <c r="CC26">
        <f t="shared" si="7"/>
        <v>0</v>
      </c>
      <c r="CD26">
        <f t="shared" si="7"/>
        <v>0</v>
      </c>
      <c r="CE26">
        <f t="shared" si="7"/>
        <v>0</v>
      </c>
      <c r="CF26">
        <f t="shared" si="7"/>
        <v>0</v>
      </c>
      <c r="CG26">
        <f t="shared" si="7"/>
        <v>1</v>
      </c>
      <c r="CH26">
        <f t="shared" si="7"/>
        <v>1</v>
      </c>
      <c r="CI26">
        <f t="shared" si="7"/>
        <v>0</v>
      </c>
      <c r="CJ26">
        <f t="shared" si="7"/>
        <v>0</v>
      </c>
      <c r="CK26">
        <f t="shared" si="7"/>
        <v>0</v>
      </c>
      <c r="CL26">
        <f t="shared" si="7"/>
        <v>0</v>
      </c>
      <c r="CM26">
        <f t="shared" si="12"/>
        <v>0</v>
      </c>
      <c r="CO26">
        <f t="shared" si="8"/>
        <v>1</v>
      </c>
      <c r="CP26">
        <f t="shared" si="8"/>
        <v>1</v>
      </c>
      <c r="CQ26">
        <f t="shared" si="8"/>
        <v>1</v>
      </c>
      <c r="CR26">
        <f t="shared" si="8"/>
        <v>1</v>
      </c>
      <c r="CS26">
        <f t="shared" si="8"/>
        <v>1</v>
      </c>
      <c r="CT26">
        <f t="shared" si="8"/>
        <v>1</v>
      </c>
      <c r="CU26">
        <f t="shared" si="8"/>
        <v>1</v>
      </c>
      <c r="CV26">
        <f t="shared" si="8"/>
        <v>1</v>
      </c>
      <c r="CW26">
        <f t="shared" si="8"/>
        <v>1</v>
      </c>
      <c r="CX26">
        <f t="shared" si="8"/>
        <v>1</v>
      </c>
      <c r="CY26">
        <f t="shared" si="8"/>
        <v>0</v>
      </c>
      <c r="CZ26">
        <f t="shared" si="8"/>
        <v>0</v>
      </c>
      <c r="DA26">
        <f t="shared" si="8"/>
        <v>1</v>
      </c>
      <c r="DB26">
        <f t="shared" si="8"/>
        <v>1</v>
      </c>
      <c r="DC26">
        <f t="shared" si="8"/>
        <v>1</v>
      </c>
      <c r="DD26">
        <f t="shared" si="8"/>
        <v>0</v>
      </c>
      <c r="DE26">
        <f t="shared" si="13"/>
        <v>1</v>
      </c>
      <c r="DG26">
        <f t="shared" si="9"/>
        <v>0</v>
      </c>
      <c r="DH26">
        <f t="shared" si="9"/>
        <v>0</v>
      </c>
      <c r="DI26">
        <f t="shared" si="9"/>
        <v>0</v>
      </c>
      <c r="DJ26">
        <f t="shared" si="9"/>
        <v>0</v>
      </c>
      <c r="DK26">
        <f t="shared" si="9"/>
        <v>0</v>
      </c>
      <c r="DL26">
        <f t="shared" si="9"/>
        <v>0</v>
      </c>
      <c r="DM26">
        <f t="shared" si="9"/>
        <v>0</v>
      </c>
      <c r="DN26">
        <f t="shared" si="9"/>
        <v>0</v>
      </c>
      <c r="DO26">
        <f t="shared" si="9"/>
        <v>0</v>
      </c>
      <c r="DP26">
        <f t="shared" si="9"/>
        <v>0</v>
      </c>
      <c r="DQ26">
        <f t="shared" si="9"/>
        <v>0</v>
      </c>
      <c r="DR26">
        <f t="shared" si="9"/>
        <v>0</v>
      </c>
      <c r="DS26">
        <f t="shared" si="9"/>
        <v>0</v>
      </c>
      <c r="DT26">
        <f t="shared" si="9"/>
        <v>0</v>
      </c>
      <c r="DU26">
        <f t="shared" si="9"/>
        <v>0</v>
      </c>
      <c r="DV26">
        <f t="shared" si="9"/>
        <v>1</v>
      </c>
      <c r="DW26">
        <f t="shared" si="14"/>
        <v>0</v>
      </c>
    </row>
    <row r="27" spans="1:127" x14ac:dyDescent="0.2">
      <c r="A27" s="20" t="s">
        <v>119</v>
      </c>
      <c r="B27" s="20" t="s">
        <v>53</v>
      </c>
      <c r="C27" s="20" t="s">
        <v>53</v>
      </c>
      <c r="D27" s="20" t="s">
        <v>53</v>
      </c>
      <c r="E27" s="20" t="s">
        <v>53</v>
      </c>
      <c r="F27" s="20" t="s">
        <v>53</v>
      </c>
      <c r="G27" s="20" t="s">
        <v>53</v>
      </c>
      <c r="H27" s="20" t="s">
        <v>53</v>
      </c>
      <c r="I27" s="20" t="s">
        <v>53</v>
      </c>
      <c r="J27" s="21" t="s">
        <v>53</v>
      </c>
      <c r="K27" s="20" t="s">
        <v>53</v>
      </c>
      <c r="L27" s="20" t="s">
        <v>53</v>
      </c>
      <c r="M27" s="20" t="s">
        <v>53</v>
      </c>
      <c r="N27" s="20" t="s">
        <v>53</v>
      </c>
      <c r="O27" s="20" t="s">
        <v>53</v>
      </c>
      <c r="P27" s="20" t="s">
        <v>53</v>
      </c>
      <c r="Q27" s="20"/>
      <c r="R27" s="20" t="s">
        <v>53</v>
      </c>
      <c r="U27" s="20" t="s">
        <v>53</v>
      </c>
      <c r="V27" s="20" t="s">
        <v>53</v>
      </c>
      <c r="W27" s="20" t="s">
        <v>53</v>
      </c>
      <c r="X27" s="20" t="s">
        <v>53</v>
      </c>
      <c r="Y27" s="20" t="s">
        <v>53</v>
      </c>
      <c r="Z27" s="20" t="s">
        <v>53</v>
      </c>
      <c r="AA27" s="20" t="s">
        <v>53</v>
      </c>
      <c r="AB27" s="20" t="s">
        <v>53</v>
      </c>
      <c r="AC27" s="20" t="s">
        <v>53</v>
      </c>
      <c r="AD27" s="20" t="s">
        <v>53</v>
      </c>
      <c r="AE27" s="20" t="s">
        <v>53</v>
      </c>
      <c r="AF27" s="20" t="s">
        <v>53</v>
      </c>
      <c r="AG27" s="20" t="s">
        <v>53</v>
      </c>
      <c r="AH27" s="20" t="s">
        <v>53</v>
      </c>
      <c r="AI27" s="20" t="s">
        <v>53</v>
      </c>
      <c r="AJ27" s="20" t="s">
        <v>53</v>
      </c>
      <c r="AK27" s="20" t="s">
        <v>53</v>
      </c>
      <c r="AM27">
        <f t="shared" si="5"/>
        <v>1</v>
      </c>
      <c r="AN27">
        <f t="shared" si="5"/>
        <v>1</v>
      </c>
      <c r="AO27">
        <f t="shared" si="5"/>
        <v>1</v>
      </c>
      <c r="AP27">
        <f t="shared" si="5"/>
        <v>1</v>
      </c>
      <c r="AQ27">
        <f t="shared" si="5"/>
        <v>1</v>
      </c>
      <c r="AR27">
        <f t="shared" si="5"/>
        <v>1</v>
      </c>
      <c r="AS27">
        <f t="shared" si="5"/>
        <v>1</v>
      </c>
      <c r="AT27">
        <f t="shared" si="5"/>
        <v>1</v>
      </c>
      <c r="AU27">
        <f t="shared" si="5"/>
        <v>1</v>
      </c>
      <c r="AV27">
        <f t="shared" si="5"/>
        <v>1</v>
      </c>
      <c r="AW27">
        <f t="shared" si="5"/>
        <v>1</v>
      </c>
      <c r="AX27">
        <f t="shared" si="5"/>
        <v>1</v>
      </c>
      <c r="AY27">
        <f t="shared" si="5"/>
        <v>1</v>
      </c>
      <c r="AZ27">
        <f t="shared" si="5"/>
        <v>1</v>
      </c>
      <c r="BA27">
        <f t="shared" si="5"/>
        <v>1</v>
      </c>
      <c r="BB27">
        <f t="shared" si="5"/>
        <v>0</v>
      </c>
      <c r="BC27">
        <f t="shared" si="10"/>
        <v>1</v>
      </c>
      <c r="BE27">
        <f t="shared" si="6"/>
        <v>0</v>
      </c>
      <c r="BF27">
        <f t="shared" si="6"/>
        <v>0</v>
      </c>
      <c r="BG27">
        <f t="shared" si="6"/>
        <v>0</v>
      </c>
      <c r="BH27">
        <f t="shared" si="6"/>
        <v>0</v>
      </c>
      <c r="BI27">
        <f t="shared" si="6"/>
        <v>0</v>
      </c>
      <c r="BJ27">
        <f t="shared" si="6"/>
        <v>0</v>
      </c>
      <c r="BK27">
        <f t="shared" si="6"/>
        <v>0</v>
      </c>
      <c r="BL27">
        <f t="shared" si="6"/>
        <v>0</v>
      </c>
      <c r="BM27">
        <f t="shared" si="6"/>
        <v>0</v>
      </c>
      <c r="BN27">
        <f t="shared" si="6"/>
        <v>0</v>
      </c>
      <c r="BO27">
        <f t="shared" si="6"/>
        <v>0</v>
      </c>
      <c r="BP27">
        <f t="shared" si="6"/>
        <v>0</v>
      </c>
      <c r="BQ27">
        <f t="shared" si="6"/>
        <v>0</v>
      </c>
      <c r="BR27">
        <f t="shared" si="6"/>
        <v>0</v>
      </c>
      <c r="BS27">
        <f t="shared" si="6"/>
        <v>0</v>
      </c>
      <c r="BT27">
        <f t="shared" si="6"/>
        <v>0</v>
      </c>
      <c r="BU27">
        <f t="shared" si="11"/>
        <v>0</v>
      </c>
      <c r="BW27">
        <f t="shared" si="7"/>
        <v>0</v>
      </c>
      <c r="BX27">
        <f t="shared" si="7"/>
        <v>0</v>
      </c>
      <c r="BY27">
        <f t="shared" si="7"/>
        <v>0</v>
      </c>
      <c r="BZ27">
        <f t="shared" si="7"/>
        <v>0</v>
      </c>
      <c r="CA27">
        <f t="shared" si="7"/>
        <v>0</v>
      </c>
      <c r="CB27">
        <f t="shared" si="7"/>
        <v>0</v>
      </c>
      <c r="CC27">
        <f t="shared" si="7"/>
        <v>0</v>
      </c>
      <c r="CD27">
        <f t="shared" si="7"/>
        <v>0</v>
      </c>
      <c r="CE27">
        <f t="shared" si="7"/>
        <v>0</v>
      </c>
      <c r="CF27">
        <f t="shared" si="7"/>
        <v>0</v>
      </c>
      <c r="CG27">
        <f t="shared" si="7"/>
        <v>0</v>
      </c>
      <c r="CH27">
        <f t="shared" si="7"/>
        <v>0</v>
      </c>
      <c r="CI27">
        <f t="shared" si="7"/>
        <v>0</v>
      </c>
      <c r="CJ27">
        <f t="shared" si="7"/>
        <v>0</v>
      </c>
      <c r="CK27">
        <f t="shared" si="7"/>
        <v>0</v>
      </c>
      <c r="CL27">
        <f t="shared" si="7"/>
        <v>1</v>
      </c>
      <c r="CM27">
        <f t="shared" si="12"/>
        <v>0</v>
      </c>
      <c r="CO27">
        <f t="shared" si="8"/>
        <v>1</v>
      </c>
      <c r="CP27">
        <f t="shared" si="8"/>
        <v>1</v>
      </c>
      <c r="CQ27">
        <f t="shared" si="8"/>
        <v>1</v>
      </c>
      <c r="CR27">
        <f t="shared" si="8"/>
        <v>1</v>
      </c>
      <c r="CS27">
        <f t="shared" si="8"/>
        <v>1</v>
      </c>
      <c r="CT27">
        <f t="shared" si="8"/>
        <v>1</v>
      </c>
      <c r="CU27">
        <f t="shared" si="8"/>
        <v>1</v>
      </c>
      <c r="CV27">
        <f t="shared" si="8"/>
        <v>1</v>
      </c>
      <c r="CW27">
        <f t="shared" si="8"/>
        <v>1</v>
      </c>
      <c r="CX27">
        <f t="shared" si="8"/>
        <v>1</v>
      </c>
      <c r="CY27">
        <f t="shared" si="8"/>
        <v>1</v>
      </c>
      <c r="CZ27">
        <f t="shared" si="8"/>
        <v>1</v>
      </c>
      <c r="DA27">
        <f t="shared" si="8"/>
        <v>1</v>
      </c>
      <c r="DB27">
        <f t="shared" si="8"/>
        <v>1</v>
      </c>
      <c r="DC27">
        <f t="shared" si="8"/>
        <v>1</v>
      </c>
      <c r="DD27">
        <f t="shared" si="8"/>
        <v>0</v>
      </c>
      <c r="DE27">
        <f t="shared" si="13"/>
        <v>1</v>
      </c>
      <c r="DG27">
        <f t="shared" si="9"/>
        <v>0</v>
      </c>
      <c r="DH27">
        <f t="shared" si="9"/>
        <v>0</v>
      </c>
      <c r="DI27">
        <f t="shared" si="9"/>
        <v>0</v>
      </c>
      <c r="DJ27">
        <f t="shared" si="9"/>
        <v>0</v>
      </c>
      <c r="DK27">
        <f t="shared" si="9"/>
        <v>0</v>
      </c>
      <c r="DL27">
        <f t="shared" si="9"/>
        <v>0</v>
      </c>
      <c r="DM27">
        <f t="shared" si="9"/>
        <v>0</v>
      </c>
      <c r="DN27">
        <f t="shared" si="9"/>
        <v>0</v>
      </c>
      <c r="DO27">
        <f t="shared" si="9"/>
        <v>0</v>
      </c>
      <c r="DP27">
        <f t="shared" si="9"/>
        <v>0</v>
      </c>
      <c r="DQ27">
        <f t="shared" si="9"/>
        <v>0</v>
      </c>
      <c r="DR27">
        <f t="shared" si="9"/>
        <v>0</v>
      </c>
      <c r="DS27">
        <f t="shared" si="9"/>
        <v>0</v>
      </c>
      <c r="DT27">
        <f t="shared" si="9"/>
        <v>0</v>
      </c>
      <c r="DU27">
        <f t="shared" si="9"/>
        <v>0</v>
      </c>
      <c r="DV27">
        <f t="shared" si="9"/>
        <v>0</v>
      </c>
      <c r="DW27">
        <f t="shared" si="14"/>
        <v>0</v>
      </c>
    </row>
    <row r="28" spans="1:127" x14ac:dyDescent="0.2">
      <c r="A28" s="20" t="s">
        <v>122</v>
      </c>
      <c r="B28" s="20" t="s">
        <v>53</v>
      </c>
      <c r="C28" s="20" t="s">
        <v>53</v>
      </c>
      <c r="D28" s="20" t="s">
        <v>53</v>
      </c>
      <c r="E28" s="20" t="s">
        <v>53</v>
      </c>
      <c r="F28" s="20" t="s">
        <v>53</v>
      </c>
      <c r="G28" s="20" t="s">
        <v>53</v>
      </c>
      <c r="H28" s="20" t="s">
        <v>53</v>
      </c>
      <c r="I28" s="20" t="s">
        <v>53</v>
      </c>
      <c r="J28" s="21" t="s">
        <v>53</v>
      </c>
      <c r="K28" s="20" t="s">
        <v>53</v>
      </c>
      <c r="L28" s="20" t="s">
        <v>53</v>
      </c>
      <c r="M28" s="20" t="s">
        <v>53</v>
      </c>
      <c r="N28" s="20" t="s">
        <v>53</v>
      </c>
      <c r="O28" s="20" t="s">
        <v>53</v>
      </c>
      <c r="P28" s="20" t="s">
        <v>53</v>
      </c>
      <c r="Q28" s="20" t="s">
        <v>53</v>
      </c>
      <c r="R28" s="20" t="s">
        <v>53</v>
      </c>
      <c r="U28" s="20" t="s">
        <v>53</v>
      </c>
      <c r="V28" s="20" t="s">
        <v>53</v>
      </c>
      <c r="W28" s="20" t="s">
        <v>53</v>
      </c>
      <c r="X28" s="20" t="s">
        <v>53</v>
      </c>
      <c r="Y28" s="20" t="s">
        <v>53</v>
      </c>
      <c r="Z28" s="20" t="s">
        <v>53</v>
      </c>
      <c r="AA28" s="20" t="s">
        <v>53</v>
      </c>
      <c r="AB28" s="20" t="s">
        <v>53</v>
      </c>
      <c r="AC28" s="20" t="s">
        <v>53</v>
      </c>
      <c r="AD28" s="20" t="s">
        <v>53</v>
      </c>
      <c r="AE28" s="20" t="s">
        <v>53</v>
      </c>
      <c r="AF28" s="20" t="s">
        <v>53</v>
      </c>
      <c r="AG28" s="20" t="s">
        <v>53</v>
      </c>
      <c r="AH28" s="20" t="s">
        <v>53</v>
      </c>
      <c r="AI28" s="20" t="s">
        <v>53</v>
      </c>
      <c r="AJ28" s="20" t="s">
        <v>53</v>
      </c>
      <c r="AK28" s="20" t="s">
        <v>53</v>
      </c>
      <c r="AM28">
        <f t="shared" si="5"/>
        <v>1</v>
      </c>
      <c r="AN28">
        <f t="shared" si="5"/>
        <v>1</v>
      </c>
      <c r="AO28">
        <f t="shared" si="5"/>
        <v>1</v>
      </c>
      <c r="AP28">
        <f t="shared" si="5"/>
        <v>1</v>
      </c>
      <c r="AQ28">
        <f t="shared" si="5"/>
        <v>1</v>
      </c>
      <c r="AR28">
        <f t="shared" si="5"/>
        <v>1</v>
      </c>
      <c r="AS28">
        <f t="shared" si="5"/>
        <v>1</v>
      </c>
      <c r="AT28">
        <f t="shared" si="5"/>
        <v>1</v>
      </c>
      <c r="AU28">
        <f t="shared" si="5"/>
        <v>1</v>
      </c>
      <c r="AV28">
        <f t="shared" si="5"/>
        <v>1</v>
      </c>
      <c r="AW28">
        <f t="shared" si="5"/>
        <v>1</v>
      </c>
      <c r="AX28">
        <f t="shared" si="5"/>
        <v>1</v>
      </c>
      <c r="AY28">
        <f t="shared" si="5"/>
        <v>1</v>
      </c>
      <c r="AZ28">
        <f t="shared" si="5"/>
        <v>1</v>
      </c>
      <c r="BA28">
        <f t="shared" si="5"/>
        <v>1</v>
      </c>
      <c r="BB28">
        <f t="shared" si="5"/>
        <v>1</v>
      </c>
      <c r="BC28">
        <f t="shared" si="10"/>
        <v>1</v>
      </c>
      <c r="BE28">
        <f t="shared" si="6"/>
        <v>0</v>
      </c>
      <c r="BF28">
        <f t="shared" si="6"/>
        <v>0</v>
      </c>
      <c r="BG28">
        <f t="shared" si="6"/>
        <v>0</v>
      </c>
      <c r="BH28">
        <f t="shared" si="6"/>
        <v>0</v>
      </c>
      <c r="BI28">
        <f t="shared" si="6"/>
        <v>0</v>
      </c>
      <c r="BJ28">
        <f t="shared" si="6"/>
        <v>0</v>
      </c>
      <c r="BK28">
        <f t="shared" si="6"/>
        <v>0</v>
      </c>
      <c r="BL28">
        <f t="shared" si="6"/>
        <v>0</v>
      </c>
      <c r="BM28">
        <f t="shared" si="6"/>
        <v>0</v>
      </c>
      <c r="BN28">
        <f t="shared" si="6"/>
        <v>0</v>
      </c>
      <c r="BO28">
        <f t="shared" si="6"/>
        <v>0</v>
      </c>
      <c r="BP28">
        <f t="shared" si="6"/>
        <v>0</v>
      </c>
      <c r="BQ28">
        <f t="shared" si="6"/>
        <v>0</v>
      </c>
      <c r="BR28">
        <f t="shared" si="6"/>
        <v>0</v>
      </c>
      <c r="BS28">
        <f t="shared" si="6"/>
        <v>0</v>
      </c>
      <c r="BT28">
        <f t="shared" si="6"/>
        <v>0</v>
      </c>
      <c r="BU28">
        <f t="shared" si="11"/>
        <v>0</v>
      </c>
      <c r="BW28">
        <f t="shared" si="7"/>
        <v>0</v>
      </c>
      <c r="BX28">
        <f t="shared" si="7"/>
        <v>0</v>
      </c>
      <c r="BY28">
        <f t="shared" si="7"/>
        <v>0</v>
      </c>
      <c r="BZ28">
        <f t="shared" si="7"/>
        <v>0</v>
      </c>
      <c r="CA28">
        <f t="shared" si="7"/>
        <v>0</v>
      </c>
      <c r="CB28">
        <f t="shared" si="7"/>
        <v>0</v>
      </c>
      <c r="CC28">
        <f t="shared" si="7"/>
        <v>0</v>
      </c>
      <c r="CD28">
        <f t="shared" si="7"/>
        <v>0</v>
      </c>
      <c r="CE28">
        <f t="shared" si="7"/>
        <v>0</v>
      </c>
      <c r="CF28">
        <f t="shared" si="7"/>
        <v>0</v>
      </c>
      <c r="CG28">
        <f t="shared" si="7"/>
        <v>0</v>
      </c>
      <c r="CH28">
        <f t="shared" si="7"/>
        <v>0</v>
      </c>
      <c r="CI28">
        <f t="shared" si="7"/>
        <v>0</v>
      </c>
      <c r="CJ28">
        <f t="shared" si="7"/>
        <v>0</v>
      </c>
      <c r="CK28">
        <f t="shared" si="7"/>
        <v>0</v>
      </c>
      <c r="CL28">
        <f t="shared" si="7"/>
        <v>0</v>
      </c>
      <c r="CM28">
        <f t="shared" si="12"/>
        <v>0</v>
      </c>
      <c r="CO28">
        <f t="shared" si="8"/>
        <v>1</v>
      </c>
      <c r="CP28">
        <f t="shared" si="8"/>
        <v>1</v>
      </c>
      <c r="CQ28">
        <f t="shared" si="8"/>
        <v>1</v>
      </c>
      <c r="CR28">
        <f t="shared" si="8"/>
        <v>1</v>
      </c>
      <c r="CS28">
        <f t="shared" si="8"/>
        <v>1</v>
      </c>
      <c r="CT28">
        <f t="shared" si="8"/>
        <v>1</v>
      </c>
      <c r="CU28">
        <f t="shared" si="8"/>
        <v>1</v>
      </c>
      <c r="CV28">
        <f t="shared" si="8"/>
        <v>1</v>
      </c>
      <c r="CW28">
        <f t="shared" si="8"/>
        <v>1</v>
      </c>
      <c r="CX28">
        <f t="shared" si="8"/>
        <v>1</v>
      </c>
      <c r="CY28">
        <f t="shared" si="8"/>
        <v>1</v>
      </c>
      <c r="CZ28">
        <f t="shared" si="8"/>
        <v>1</v>
      </c>
      <c r="DA28">
        <f t="shared" si="8"/>
        <v>1</v>
      </c>
      <c r="DB28">
        <f t="shared" si="8"/>
        <v>1</v>
      </c>
      <c r="DC28">
        <f t="shared" si="8"/>
        <v>1</v>
      </c>
      <c r="DD28">
        <f t="shared" si="8"/>
        <v>1</v>
      </c>
      <c r="DE28">
        <f t="shared" si="13"/>
        <v>1</v>
      </c>
      <c r="DG28">
        <f t="shared" si="9"/>
        <v>0</v>
      </c>
      <c r="DH28">
        <f t="shared" si="9"/>
        <v>0</v>
      </c>
      <c r="DI28">
        <f t="shared" si="9"/>
        <v>0</v>
      </c>
      <c r="DJ28">
        <f t="shared" si="9"/>
        <v>0</v>
      </c>
      <c r="DK28">
        <f t="shared" si="9"/>
        <v>0</v>
      </c>
      <c r="DL28">
        <f t="shared" si="9"/>
        <v>0</v>
      </c>
      <c r="DM28">
        <f t="shared" si="9"/>
        <v>0</v>
      </c>
      <c r="DN28">
        <f t="shared" si="9"/>
        <v>0</v>
      </c>
      <c r="DO28">
        <f t="shared" si="9"/>
        <v>0</v>
      </c>
      <c r="DP28">
        <f t="shared" si="9"/>
        <v>0</v>
      </c>
      <c r="DQ28">
        <f t="shared" si="9"/>
        <v>0</v>
      </c>
      <c r="DR28">
        <f t="shared" si="9"/>
        <v>0</v>
      </c>
      <c r="DS28">
        <f t="shared" si="9"/>
        <v>0</v>
      </c>
      <c r="DT28">
        <f t="shared" si="9"/>
        <v>0</v>
      </c>
      <c r="DU28">
        <f t="shared" si="9"/>
        <v>0</v>
      </c>
      <c r="DV28">
        <f t="shared" si="9"/>
        <v>0</v>
      </c>
      <c r="DW28">
        <f t="shared" si="14"/>
        <v>0</v>
      </c>
    </row>
    <row r="29" spans="1:127" x14ac:dyDescent="0.2">
      <c r="A29" s="20" t="s">
        <v>123</v>
      </c>
      <c r="B29" s="20" t="s">
        <v>53</v>
      </c>
      <c r="C29" s="20" t="s">
        <v>53</v>
      </c>
      <c r="D29" s="20" t="s">
        <v>53</v>
      </c>
      <c r="E29" s="20"/>
      <c r="F29" s="20"/>
      <c r="G29" s="20" t="s">
        <v>53</v>
      </c>
      <c r="H29" s="20" t="s">
        <v>53</v>
      </c>
      <c r="I29" s="20" t="s">
        <v>53</v>
      </c>
      <c r="J29" s="21" t="s">
        <v>53</v>
      </c>
      <c r="K29" s="20" t="s">
        <v>53</v>
      </c>
      <c r="L29" s="20" t="s">
        <v>53</v>
      </c>
      <c r="M29" s="20" t="s">
        <v>53</v>
      </c>
      <c r="N29" s="20" t="s">
        <v>53</v>
      </c>
      <c r="O29" s="20"/>
      <c r="P29" s="20" t="s">
        <v>53</v>
      </c>
      <c r="Q29" s="20"/>
      <c r="R29" s="20" t="s">
        <v>53</v>
      </c>
      <c r="U29" s="20" t="s">
        <v>53</v>
      </c>
      <c r="V29" s="20" t="s">
        <v>53</v>
      </c>
      <c r="W29" s="20" t="s">
        <v>53</v>
      </c>
      <c r="X29" s="20"/>
      <c r="Y29" s="20" t="s">
        <v>53</v>
      </c>
      <c r="Z29" s="20" t="s">
        <v>53</v>
      </c>
      <c r="AA29" s="20" t="s">
        <v>53</v>
      </c>
      <c r="AB29" s="20" t="s">
        <v>53</v>
      </c>
      <c r="AC29" s="20" t="s">
        <v>53</v>
      </c>
      <c r="AD29" s="20" t="s">
        <v>53</v>
      </c>
      <c r="AE29" s="20" t="s">
        <v>53</v>
      </c>
      <c r="AF29" s="20" t="s">
        <v>53</v>
      </c>
      <c r="AG29" s="20" t="s">
        <v>53</v>
      </c>
      <c r="AH29" s="20"/>
      <c r="AI29" s="20" t="s">
        <v>53</v>
      </c>
      <c r="AJ29" s="20"/>
      <c r="AK29" s="20" t="s">
        <v>53</v>
      </c>
      <c r="AM29">
        <f t="shared" si="5"/>
        <v>1</v>
      </c>
      <c r="AN29">
        <f t="shared" si="5"/>
        <v>1</v>
      </c>
      <c r="AO29">
        <f t="shared" si="5"/>
        <v>1</v>
      </c>
      <c r="AP29">
        <f t="shared" si="5"/>
        <v>1</v>
      </c>
      <c r="AQ29">
        <f t="shared" si="5"/>
        <v>0</v>
      </c>
      <c r="AR29">
        <f t="shared" si="5"/>
        <v>1</v>
      </c>
      <c r="AS29">
        <f t="shared" si="5"/>
        <v>1</v>
      </c>
      <c r="AT29">
        <f t="shared" si="5"/>
        <v>1</v>
      </c>
      <c r="AU29">
        <f t="shared" si="5"/>
        <v>1</v>
      </c>
      <c r="AV29">
        <f t="shared" si="5"/>
        <v>1</v>
      </c>
      <c r="AW29">
        <f t="shared" si="5"/>
        <v>1</v>
      </c>
      <c r="AX29">
        <f t="shared" si="5"/>
        <v>1</v>
      </c>
      <c r="AY29">
        <f t="shared" si="5"/>
        <v>1</v>
      </c>
      <c r="AZ29">
        <f t="shared" si="5"/>
        <v>1</v>
      </c>
      <c r="BA29">
        <f t="shared" si="5"/>
        <v>1</v>
      </c>
      <c r="BB29">
        <f t="shared" si="5"/>
        <v>1</v>
      </c>
      <c r="BC29">
        <f t="shared" si="10"/>
        <v>1</v>
      </c>
      <c r="BE29">
        <f t="shared" si="6"/>
        <v>0</v>
      </c>
      <c r="BF29">
        <f t="shared" si="6"/>
        <v>0</v>
      </c>
      <c r="BG29">
        <f t="shared" si="6"/>
        <v>0</v>
      </c>
      <c r="BH29">
        <f t="shared" si="6"/>
        <v>0</v>
      </c>
      <c r="BI29">
        <f t="shared" si="6"/>
        <v>0</v>
      </c>
      <c r="BJ29">
        <f t="shared" si="6"/>
        <v>0</v>
      </c>
      <c r="BK29">
        <f t="shared" si="6"/>
        <v>0</v>
      </c>
      <c r="BL29">
        <f t="shared" si="6"/>
        <v>0</v>
      </c>
      <c r="BM29">
        <f t="shared" si="6"/>
        <v>0</v>
      </c>
      <c r="BN29">
        <f t="shared" si="6"/>
        <v>0</v>
      </c>
      <c r="BO29">
        <f t="shared" si="6"/>
        <v>0</v>
      </c>
      <c r="BP29">
        <f t="shared" si="6"/>
        <v>0</v>
      </c>
      <c r="BQ29">
        <f t="shared" si="6"/>
        <v>0</v>
      </c>
      <c r="BR29">
        <f t="shared" si="6"/>
        <v>0</v>
      </c>
      <c r="BS29">
        <f t="shared" si="6"/>
        <v>0</v>
      </c>
      <c r="BT29">
        <f t="shared" si="6"/>
        <v>0</v>
      </c>
      <c r="BU29">
        <f t="shared" si="11"/>
        <v>0</v>
      </c>
      <c r="BW29">
        <f t="shared" si="7"/>
        <v>0</v>
      </c>
      <c r="BX29">
        <f t="shared" si="7"/>
        <v>0</v>
      </c>
      <c r="BY29">
        <f t="shared" si="7"/>
        <v>0</v>
      </c>
      <c r="BZ29">
        <f t="shared" si="7"/>
        <v>0</v>
      </c>
      <c r="CA29">
        <f t="shared" si="7"/>
        <v>1</v>
      </c>
      <c r="CB29">
        <f t="shared" si="7"/>
        <v>0</v>
      </c>
      <c r="CC29">
        <f t="shared" si="7"/>
        <v>0</v>
      </c>
      <c r="CD29">
        <f t="shared" si="7"/>
        <v>0</v>
      </c>
      <c r="CE29">
        <f t="shared" si="7"/>
        <v>0</v>
      </c>
      <c r="CF29">
        <f t="shared" si="7"/>
        <v>0</v>
      </c>
      <c r="CG29">
        <f t="shared" si="7"/>
        <v>0</v>
      </c>
      <c r="CH29">
        <f t="shared" si="7"/>
        <v>0</v>
      </c>
      <c r="CI29">
        <f t="shared" si="7"/>
        <v>0</v>
      </c>
      <c r="CJ29">
        <f t="shared" si="7"/>
        <v>0</v>
      </c>
      <c r="CK29">
        <f t="shared" si="7"/>
        <v>0</v>
      </c>
      <c r="CL29">
        <f t="shared" si="7"/>
        <v>0</v>
      </c>
      <c r="CM29">
        <f t="shared" si="12"/>
        <v>0</v>
      </c>
      <c r="CO29">
        <f t="shared" si="8"/>
        <v>1</v>
      </c>
      <c r="CP29">
        <f t="shared" si="8"/>
        <v>1</v>
      </c>
      <c r="CQ29">
        <f t="shared" si="8"/>
        <v>1</v>
      </c>
      <c r="CR29">
        <f t="shared" si="8"/>
        <v>0</v>
      </c>
      <c r="CS29">
        <f t="shared" si="8"/>
        <v>0</v>
      </c>
      <c r="CT29">
        <f t="shared" si="8"/>
        <v>1</v>
      </c>
      <c r="CU29">
        <f t="shared" si="8"/>
        <v>1</v>
      </c>
      <c r="CV29">
        <f t="shared" si="8"/>
        <v>1</v>
      </c>
      <c r="CW29">
        <f t="shared" si="8"/>
        <v>1</v>
      </c>
      <c r="CX29">
        <f t="shared" si="8"/>
        <v>1</v>
      </c>
      <c r="CY29">
        <f t="shared" si="8"/>
        <v>1</v>
      </c>
      <c r="CZ29">
        <f t="shared" si="8"/>
        <v>1</v>
      </c>
      <c r="DA29">
        <f t="shared" si="8"/>
        <v>1</v>
      </c>
      <c r="DB29">
        <f t="shared" si="8"/>
        <v>0</v>
      </c>
      <c r="DC29">
        <f t="shared" si="8"/>
        <v>1</v>
      </c>
      <c r="DD29">
        <f t="shared" si="8"/>
        <v>0</v>
      </c>
      <c r="DE29">
        <f t="shared" si="13"/>
        <v>1</v>
      </c>
      <c r="DG29">
        <f t="shared" si="9"/>
        <v>0</v>
      </c>
      <c r="DH29">
        <f t="shared" si="9"/>
        <v>0</v>
      </c>
      <c r="DI29">
        <f t="shared" si="9"/>
        <v>0</v>
      </c>
      <c r="DJ29">
        <f t="shared" si="9"/>
        <v>1</v>
      </c>
      <c r="DK29">
        <f t="shared" si="9"/>
        <v>0</v>
      </c>
      <c r="DL29">
        <f t="shared" si="9"/>
        <v>0</v>
      </c>
      <c r="DM29">
        <f t="shared" si="9"/>
        <v>0</v>
      </c>
      <c r="DN29">
        <f t="shared" si="9"/>
        <v>0</v>
      </c>
      <c r="DO29">
        <f t="shared" si="9"/>
        <v>0</v>
      </c>
      <c r="DP29">
        <f t="shared" si="9"/>
        <v>0</v>
      </c>
      <c r="DQ29">
        <f t="shared" si="9"/>
        <v>0</v>
      </c>
      <c r="DR29">
        <f t="shared" si="9"/>
        <v>0</v>
      </c>
      <c r="DS29">
        <f t="shared" si="9"/>
        <v>0</v>
      </c>
      <c r="DT29">
        <f t="shared" si="9"/>
        <v>1</v>
      </c>
      <c r="DU29">
        <f t="shared" si="9"/>
        <v>0</v>
      </c>
      <c r="DV29">
        <f t="shared" si="9"/>
        <v>1</v>
      </c>
      <c r="DW29">
        <f t="shared" si="14"/>
        <v>0</v>
      </c>
    </row>
    <row r="30" spans="1:127" x14ac:dyDescent="0.2">
      <c r="A30" s="20" t="s">
        <v>125</v>
      </c>
      <c r="B30" s="20" t="s">
        <v>53</v>
      </c>
      <c r="C30" s="20" t="s">
        <v>53</v>
      </c>
      <c r="D30" s="20" t="s">
        <v>53</v>
      </c>
      <c r="E30" s="20" t="s">
        <v>53</v>
      </c>
      <c r="F30" s="20" t="s">
        <v>53</v>
      </c>
      <c r="G30" s="20" t="s">
        <v>53</v>
      </c>
      <c r="H30" s="20" t="s">
        <v>53</v>
      </c>
      <c r="I30" s="20" t="s">
        <v>53</v>
      </c>
      <c r="J30" s="21" t="s">
        <v>53</v>
      </c>
      <c r="K30" s="20" t="s">
        <v>53</v>
      </c>
      <c r="L30" s="20" t="s">
        <v>53</v>
      </c>
      <c r="M30" s="20" t="s">
        <v>53</v>
      </c>
      <c r="N30" s="20"/>
      <c r="O30" s="20"/>
      <c r="P30" s="20"/>
      <c r="Q30" s="20"/>
      <c r="R30" s="20"/>
      <c r="U30" s="20" t="s">
        <v>53</v>
      </c>
      <c r="V30" s="20" t="s">
        <v>53</v>
      </c>
      <c r="W30" s="20" t="s">
        <v>53</v>
      </c>
      <c r="X30" s="20" t="s">
        <v>53</v>
      </c>
      <c r="Y30" s="20" t="s">
        <v>53</v>
      </c>
      <c r="Z30" s="20" t="s">
        <v>53</v>
      </c>
      <c r="AA30" s="20" t="s">
        <v>53</v>
      </c>
      <c r="AB30" s="20" t="s">
        <v>53</v>
      </c>
      <c r="AC30" s="20" t="s">
        <v>53</v>
      </c>
      <c r="AD30" s="20" t="s">
        <v>53</v>
      </c>
      <c r="AE30" s="20" t="s">
        <v>53</v>
      </c>
      <c r="AF30" s="20" t="s">
        <v>53</v>
      </c>
      <c r="AG30" s="20"/>
      <c r="AH30" s="20"/>
      <c r="AI30" s="20"/>
      <c r="AJ30" s="20"/>
      <c r="AK30" s="20" t="s">
        <v>53</v>
      </c>
      <c r="AM30">
        <f t="shared" si="5"/>
        <v>1</v>
      </c>
      <c r="AN30">
        <f t="shared" si="5"/>
        <v>1</v>
      </c>
      <c r="AO30">
        <f t="shared" si="5"/>
        <v>1</v>
      </c>
      <c r="AP30">
        <f t="shared" si="5"/>
        <v>1</v>
      </c>
      <c r="AQ30">
        <f t="shared" si="5"/>
        <v>1</v>
      </c>
      <c r="AR30">
        <f t="shared" si="5"/>
        <v>1</v>
      </c>
      <c r="AS30">
        <f t="shared" si="5"/>
        <v>1</v>
      </c>
      <c r="AT30">
        <f t="shared" si="5"/>
        <v>1</v>
      </c>
      <c r="AU30">
        <f t="shared" si="5"/>
        <v>1</v>
      </c>
      <c r="AV30">
        <f t="shared" si="5"/>
        <v>1</v>
      </c>
      <c r="AW30">
        <f t="shared" si="5"/>
        <v>1</v>
      </c>
      <c r="AX30">
        <f t="shared" si="5"/>
        <v>1</v>
      </c>
      <c r="AY30">
        <f t="shared" si="5"/>
        <v>1</v>
      </c>
      <c r="AZ30">
        <f t="shared" si="5"/>
        <v>1</v>
      </c>
      <c r="BA30">
        <f t="shared" si="5"/>
        <v>1</v>
      </c>
      <c r="BB30">
        <f t="shared" si="5"/>
        <v>1</v>
      </c>
      <c r="BC30">
        <f t="shared" si="10"/>
        <v>0</v>
      </c>
      <c r="BE30">
        <f t="shared" si="6"/>
        <v>0</v>
      </c>
      <c r="BF30">
        <f t="shared" si="6"/>
        <v>0</v>
      </c>
      <c r="BG30">
        <f t="shared" si="6"/>
        <v>0</v>
      </c>
      <c r="BH30">
        <f t="shared" si="6"/>
        <v>0</v>
      </c>
      <c r="BI30">
        <f t="shared" si="6"/>
        <v>0</v>
      </c>
      <c r="BJ30">
        <f t="shared" si="6"/>
        <v>0</v>
      </c>
      <c r="BK30">
        <f t="shared" si="6"/>
        <v>0</v>
      </c>
      <c r="BL30">
        <f t="shared" si="6"/>
        <v>0</v>
      </c>
      <c r="BM30">
        <f t="shared" si="6"/>
        <v>0</v>
      </c>
      <c r="BN30">
        <f t="shared" si="6"/>
        <v>0</v>
      </c>
      <c r="BO30">
        <f t="shared" si="6"/>
        <v>0</v>
      </c>
      <c r="BP30">
        <f t="shared" si="6"/>
        <v>0</v>
      </c>
      <c r="BQ30">
        <f t="shared" si="6"/>
        <v>0</v>
      </c>
      <c r="BR30">
        <f t="shared" si="6"/>
        <v>0</v>
      </c>
      <c r="BS30">
        <f t="shared" si="6"/>
        <v>0</v>
      </c>
      <c r="BT30">
        <f t="shared" si="6"/>
        <v>0</v>
      </c>
      <c r="BU30">
        <f t="shared" si="11"/>
        <v>0</v>
      </c>
      <c r="BW30">
        <f t="shared" si="7"/>
        <v>0</v>
      </c>
      <c r="BX30">
        <f t="shared" si="7"/>
        <v>0</v>
      </c>
      <c r="BY30">
        <f t="shared" si="7"/>
        <v>0</v>
      </c>
      <c r="BZ30">
        <f t="shared" si="7"/>
        <v>0</v>
      </c>
      <c r="CA30">
        <f t="shared" si="7"/>
        <v>0</v>
      </c>
      <c r="CB30">
        <f t="shared" si="7"/>
        <v>0</v>
      </c>
      <c r="CC30">
        <f t="shared" si="7"/>
        <v>0</v>
      </c>
      <c r="CD30">
        <f t="shared" si="7"/>
        <v>0</v>
      </c>
      <c r="CE30">
        <f t="shared" si="7"/>
        <v>0</v>
      </c>
      <c r="CF30">
        <f t="shared" si="7"/>
        <v>0</v>
      </c>
      <c r="CG30">
        <f t="shared" si="7"/>
        <v>0</v>
      </c>
      <c r="CH30">
        <f t="shared" si="7"/>
        <v>0</v>
      </c>
      <c r="CI30">
        <f t="shared" si="7"/>
        <v>0</v>
      </c>
      <c r="CJ30">
        <f t="shared" si="7"/>
        <v>0</v>
      </c>
      <c r="CK30">
        <f t="shared" si="7"/>
        <v>0</v>
      </c>
      <c r="CL30">
        <f t="shared" si="7"/>
        <v>0</v>
      </c>
      <c r="CM30">
        <f t="shared" si="12"/>
        <v>1</v>
      </c>
      <c r="CO30">
        <f t="shared" si="8"/>
        <v>1</v>
      </c>
      <c r="CP30">
        <f t="shared" si="8"/>
        <v>1</v>
      </c>
      <c r="CQ30">
        <f t="shared" si="8"/>
        <v>1</v>
      </c>
      <c r="CR30">
        <f t="shared" si="8"/>
        <v>1</v>
      </c>
      <c r="CS30">
        <f t="shared" si="8"/>
        <v>1</v>
      </c>
      <c r="CT30">
        <f t="shared" si="8"/>
        <v>1</v>
      </c>
      <c r="CU30">
        <f t="shared" si="8"/>
        <v>1</v>
      </c>
      <c r="CV30">
        <f t="shared" si="8"/>
        <v>1</v>
      </c>
      <c r="CW30">
        <f t="shared" si="8"/>
        <v>1</v>
      </c>
      <c r="CX30">
        <f t="shared" si="8"/>
        <v>1</v>
      </c>
      <c r="CY30">
        <f t="shared" si="8"/>
        <v>1</v>
      </c>
      <c r="CZ30">
        <f t="shared" si="8"/>
        <v>1</v>
      </c>
      <c r="DA30">
        <f t="shared" si="8"/>
        <v>0</v>
      </c>
      <c r="DB30">
        <f t="shared" si="8"/>
        <v>0</v>
      </c>
      <c r="DC30">
        <f t="shared" si="8"/>
        <v>0</v>
      </c>
      <c r="DD30">
        <f t="shared" si="8"/>
        <v>0</v>
      </c>
      <c r="DE30">
        <f t="shared" si="13"/>
        <v>0</v>
      </c>
      <c r="DG30">
        <f t="shared" si="9"/>
        <v>0</v>
      </c>
      <c r="DH30">
        <f t="shared" si="9"/>
        <v>0</v>
      </c>
      <c r="DI30">
        <f t="shared" si="9"/>
        <v>0</v>
      </c>
      <c r="DJ30">
        <f t="shared" si="9"/>
        <v>0</v>
      </c>
      <c r="DK30">
        <f t="shared" si="9"/>
        <v>0</v>
      </c>
      <c r="DL30">
        <f t="shared" si="9"/>
        <v>0</v>
      </c>
      <c r="DM30">
        <f t="shared" si="9"/>
        <v>0</v>
      </c>
      <c r="DN30">
        <f t="shared" si="9"/>
        <v>0</v>
      </c>
      <c r="DO30">
        <f t="shared" si="9"/>
        <v>0</v>
      </c>
      <c r="DP30">
        <f t="shared" si="9"/>
        <v>0</v>
      </c>
      <c r="DQ30">
        <f t="shared" si="9"/>
        <v>0</v>
      </c>
      <c r="DR30">
        <f t="shared" si="9"/>
        <v>0</v>
      </c>
      <c r="DS30">
        <f t="shared" si="9"/>
        <v>1</v>
      </c>
      <c r="DT30">
        <f t="shared" si="9"/>
        <v>1</v>
      </c>
      <c r="DU30">
        <f t="shared" si="9"/>
        <v>1</v>
      </c>
      <c r="DV30">
        <f t="shared" si="9"/>
        <v>1</v>
      </c>
      <c r="DW30">
        <f t="shared" si="14"/>
        <v>0</v>
      </c>
    </row>
    <row r="31" spans="1:127" x14ac:dyDescent="0.2">
      <c r="A31" s="20" t="s">
        <v>126</v>
      </c>
      <c r="B31" s="20" t="s">
        <v>53</v>
      </c>
      <c r="C31" s="20"/>
      <c r="D31" s="20"/>
      <c r="E31" s="20"/>
      <c r="F31" s="20"/>
      <c r="G31" s="20" t="s">
        <v>53</v>
      </c>
      <c r="H31" s="20" t="s">
        <v>53</v>
      </c>
      <c r="I31" s="20" t="s">
        <v>53</v>
      </c>
      <c r="J31" s="21" t="s">
        <v>53</v>
      </c>
      <c r="K31" s="20" t="s">
        <v>53</v>
      </c>
      <c r="L31" s="20" t="s">
        <v>53</v>
      </c>
      <c r="M31" s="20" t="s">
        <v>53</v>
      </c>
      <c r="N31" s="20" t="s">
        <v>53</v>
      </c>
      <c r="O31" s="20"/>
      <c r="P31" s="20" t="s">
        <v>53</v>
      </c>
      <c r="Q31" s="20"/>
      <c r="R31" s="20" t="s">
        <v>53</v>
      </c>
      <c r="U31" s="20" t="s">
        <v>53</v>
      </c>
      <c r="V31" s="20" t="s">
        <v>53</v>
      </c>
      <c r="W31" s="20"/>
      <c r="X31" s="20"/>
      <c r="Y31" s="20" t="s">
        <v>53</v>
      </c>
      <c r="Z31" s="20" t="s">
        <v>53</v>
      </c>
      <c r="AA31" s="20" t="s">
        <v>53</v>
      </c>
      <c r="AB31" s="20" t="s">
        <v>53</v>
      </c>
      <c r="AC31" s="20" t="s">
        <v>53</v>
      </c>
      <c r="AD31" s="20" t="s">
        <v>53</v>
      </c>
      <c r="AE31" s="20" t="s">
        <v>53</v>
      </c>
      <c r="AF31" s="20" t="s">
        <v>53</v>
      </c>
      <c r="AG31" s="20" t="s">
        <v>53</v>
      </c>
      <c r="AH31" s="20"/>
      <c r="AI31" s="20" t="s">
        <v>53</v>
      </c>
      <c r="AJ31" s="20"/>
      <c r="AK31" s="20" t="s">
        <v>53</v>
      </c>
      <c r="AM31">
        <f t="shared" si="5"/>
        <v>1</v>
      </c>
      <c r="AN31">
        <f t="shared" si="5"/>
        <v>0</v>
      </c>
      <c r="AO31">
        <f t="shared" si="5"/>
        <v>1</v>
      </c>
      <c r="AP31">
        <f t="shared" si="5"/>
        <v>1</v>
      </c>
      <c r="AQ31">
        <f t="shared" si="5"/>
        <v>0</v>
      </c>
      <c r="AR31">
        <f t="shared" si="5"/>
        <v>1</v>
      </c>
      <c r="AS31">
        <f t="shared" si="5"/>
        <v>1</v>
      </c>
      <c r="AT31">
        <f t="shared" si="5"/>
        <v>1</v>
      </c>
      <c r="AU31">
        <f t="shared" si="5"/>
        <v>1</v>
      </c>
      <c r="AV31">
        <f t="shared" si="5"/>
        <v>1</v>
      </c>
      <c r="AW31">
        <f t="shared" si="5"/>
        <v>1</v>
      </c>
      <c r="AX31">
        <f t="shared" si="5"/>
        <v>1</v>
      </c>
      <c r="AY31">
        <f t="shared" si="5"/>
        <v>1</v>
      </c>
      <c r="AZ31">
        <f t="shared" si="5"/>
        <v>1</v>
      </c>
      <c r="BA31">
        <f t="shared" si="5"/>
        <v>1</v>
      </c>
      <c r="BB31">
        <f t="shared" si="5"/>
        <v>1</v>
      </c>
      <c r="BC31">
        <f t="shared" si="10"/>
        <v>1</v>
      </c>
      <c r="BE31">
        <f t="shared" si="6"/>
        <v>0</v>
      </c>
      <c r="BF31">
        <f t="shared" si="6"/>
        <v>0</v>
      </c>
      <c r="BG31">
        <f t="shared" si="6"/>
        <v>0</v>
      </c>
      <c r="BH31">
        <f t="shared" si="6"/>
        <v>0</v>
      </c>
      <c r="BI31">
        <f t="shared" si="6"/>
        <v>0</v>
      </c>
      <c r="BJ31">
        <f t="shared" si="6"/>
        <v>0</v>
      </c>
      <c r="BK31">
        <f t="shared" si="6"/>
        <v>0</v>
      </c>
      <c r="BL31">
        <f t="shared" si="6"/>
        <v>0</v>
      </c>
      <c r="BM31">
        <f t="shared" si="6"/>
        <v>0</v>
      </c>
      <c r="BN31">
        <f t="shared" si="6"/>
        <v>0</v>
      </c>
      <c r="BO31">
        <f t="shared" si="6"/>
        <v>0</v>
      </c>
      <c r="BP31">
        <f t="shared" si="6"/>
        <v>0</v>
      </c>
      <c r="BQ31">
        <f t="shared" si="6"/>
        <v>0</v>
      </c>
      <c r="BR31">
        <f t="shared" si="6"/>
        <v>0</v>
      </c>
      <c r="BS31">
        <f t="shared" si="6"/>
        <v>0</v>
      </c>
      <c r="BT31">
        <f t="shared" si="6"/>
        <v>0</v>
      </c>
      <c r="BU31">
        <f t="shared" si="11"/>
        <v>0</v>
      </c>
      <c r="BW31">
        <f t="shared" si="7"/>
        <v>0</v>
      </c>
      <c r="BX31">
        <f t="shared" si="7"/>
        <v>1</v>
      </c>
      <c r="BY31">
        <f t="shared" si="7"/>
        <v>0</v>
      </c>
      <c r="BZ31">
        <f t="shared" si="7"/>
        <v>0</v>
      </c>
      <c r="CA31">
        <f t="shared" si="7"/>
        <v>1</v>
      </c>
      <c r="CB31">
        <f t="shared" si="7"/>
        <v>0</v>
      </c>
      <c r="CC31">
        <f t="shared" si="7"/>
        <v>0</v>
      </c>
      <c r="CD31">
        <f t="shared" si="7"/>
        <v>0</v>
      </c>
      <c r="CE31">
        <f t="shared" si="7"/>
        <v>0</v>
      </c>
      <c r="CF31">
        <f t="shared" si="7"/>
        <v>0</v>
      </c>
      <c r="CG31">
        <f t="shared" si="7"/>
        <v>0</v>
      </c>
      <c r="CH31">
        <f t="shared" si="7"/>
        <v>0</v>
      </c>
      <c r="CI31">
        <f t="shared" si="7"/>
        <v>0</v>
      </c>
      <c r="CJ31">
        <f t="shared" si="7"/>
        <v>0</v>
      </c>
      <c r="CK31">
        <f t="shared" si="7"/>
        <v>0</v>
      </c>
      <c r="CL31">
        <f t="shared" si="7"/>
        <v>0</v>
      </c>
      <c r="CM31">
        <f t="shared" si="12"/>
        <v>0</v>
      </c>
      <c r="CO31">
        <f t="shared" si="8"/>
        <v>1</v>
      </c>
      <c r="CP31">
        <f t="shared" si="8"/>
        <v>0</v>
      </c>
      <c r="CQ31">
        <f t="shared" si="8"/>
        <v>0</v>
      </c>
      <c r="CR31">
        <f t="shared" si="8"/>
        <v>0</v>
      </c>
      <c r="CS31">
        <f t="shared" si="8"/>
        <v>0</v>
      </c>
      <c r="CT31">
        <f t="shared" si="8"/>
        <v>1</v>
      </c>
      <c r="CU31">
        <f t="shared" si="8"/>
        <v>1</v>
      </c>
      <c r="CV31">
        <f t="shared" si="8"/>
        <v>1</v>
      </c>
      <c r="CW31">
        <f t="shared" si="8"/>
        <v>1</v>
      </c>
      <c r="CX31">
        <f t="shared" si="8"/>
        <v>1</v>
      </c>
      <c r="CY31">
        <f t="shared" si="8"/>
        <v>1</v>
      </c>
      <c r="CZ31">
        <f t="shared" si="8"/>
        <v>1</v>
      </c>
      <c r="DA31">
        <f t="shared" si="8"/>
        <v>1</v>
      </c>
      <c r="DB31">
        <f t="shared" si="8"/>
        <v>0</v>
      </c>
      <c r="DC31">
        <f t="shared" si="8"/>
        <v>1</v>
      </c>
      <c r="DD31">
        <f t="shared" si="8"/>
        <v>0</v>
      </c>
      <c r="DE31">
        <f t="shared" si="13"/>
        <v>1</v>
      </c>
      <c r="DG31">
        <f t="shared" si="9"/>
        <v>0</v>
      </c>
      <c r="DH31">
        <f t="shared" si="9"/>
        <v>0</v>
      </c>
      <c r="DI31">
        <f t="shared" si="9"/>
        <v>1</v>
      </c>
      <c r="DJ31">
        <f t="shared" si="9"/>
        <v>1</v>
      </c>
      <c r="DK31">
        <f t="shared" si="9"/>
        <v>0</v>
      </c>
      <c r="DL31">
        <f t="shared" si="9"/>
        <v>0</v>
      </c>
      <c r="DM31">
        <f t="shared" si="9"/>
        <v>0</v>
      </c>
      <c r="DN31">
        <f t="shared" si="9"/>
        <v>0</v>
      </c>
      <c r="DO31">
        <f t="shared" si="9"/>
        <v>0</v>
      </c>
      <c r="DP31">
        <f t="shared" si="9"/>
        <v>0</v>
      </c>
      <c r="DQ31">
        <f t="shared" si="9"/>
        <v>0</v>
      </c>
      <c r="DR31">
        <f t="shared" si="9"/>
        <v>0</v>
      </c>
      <c r="DS31">
        <f t="shared" si="9"/>
        <v>0</v>
      </c>
      <c r="DT31">
        <f t="shared" si="9"/>
        <v>1</v>
      </c>
      <c r="DU31">
        <f t="shared" si="9"/>
        <v>0</v>
      </c>
      <c r="DV31">
        <f t="shared" si="9"/>
        <v>1</v>
      </c>
      <c r="DW31">
        <f t="shared" si="14"/>
        <v>0</v>
      </c>
    </row>
    <row r="32" spans="1:127" x14ac:dyDescent="0.2">
      <c r="A32" s="20" t="s">
        <v>127</v>
      </c>
      <c r="B32" s="20" t="s">
        <v>53</v>
      </c>
      <c r="C32" s="20" t="s">
        <v>53</v>
      </c>
      <c r="D32" s="20" t="s">
        <v>53</v>
      </c>
      <c r="E32" s="20" t="s">
        <v>53</v>
      </c>
      <c r="F32" s="20" t="s">
        <v>53</v>
      </c>
      <c r="G32" s="20" t="s">
        <v>53</v>
      </c>
      <c r="H32" s="20" t="s">
        <v>53</v>
      </c>
      <c r="I32" s="20" t="s">
        <v>53</v>
      </c>
      <c r="J32" s="21" t="s">
        <v>53</v>
      </c>
      <c r="K32" s="20" t="s">
        <v>53</v>
      </c>
      <c r="L32" s="20" t="s">
        <v>53</v>
      </c>
      <c r="M32" s="20" t="s">
        <v>53</v>
      </c>
      <c r="N32" s="20" t="s">
        <v>53</v>
      </c>
      <c r="O32" s="20"/>
      <c r="P32" s="20" t="s">
        <v>53</v>
      </c>
      <c r="Q32" s="20"/>
      <c r="R32" s="20" t="s">
        <v>53</v>
      </c>
      <c r="U32" s="20" t="s">
        <v>53</v>
      </c>
      <c r="V32" s="20" t="s">
        <v>53</v>
      </c>
      <c r="W32" s="20" t="s">
        <v>53</v>
      </c>
      <c r="X32" s="20" t="s">
        <v>53</v>
      </c>
      <c r="Y32" s="20" t="s">
        <v>53</v>
      </c>
      <c r="Z32" s="20" t="s">
        <v>53</v>
      </c>
      <c r="AA32" s="20" t="s">
        <v>53</v>
      </c>
      <c r="AB32" s="20" t="s">
        <v>53</v>
      </c>
      <c r="AC32" s="20" t="s">
        <v>53</v>
      </c>
      <c r="AD32" s="20" t="s">
        <v>53</v>
      </c>
      <c r="AE32" s="20" t="s">
        <v>53</v>
      </c>
      <c r="AF32" s="20" t="s">
        <v>53</v>
      </c>
      <c r="AG32" s="20" t="s">
        <v>53</v>
      </c>
      <c r="AH32" s="20" t="s">
        <v>53</v>
      </c>
      <c r="AI32" s="20" t="s">
        <v>53</v>
      </c>
      <c r="AJ32" s="20"/>
      <c r="AK32" s="20" t="s">
        <v>53</v>
      </c>
      <c r="AM32">
        <f t="shared" si="5"/>
        <v>1</v>
      </c>
      <c r="AN32">
        <f t="shared" si="5"/>
        <v>1</v>
      </c>
      <c r="AO32">
        <f t="shared" si="5"/>
        <v>1</v>
      </c>
      <c r="AP32">
        <f t="shared" si="5"/>
        <v>1</v>
      </c>
      <c r="AQ32">
        <f t="shared" si="5"/>
        <v>1</v>
      </c>
      <c r="AR32">
        <f t="shared" si="5"/>
        <v>1</v>
      </c>
      <c r="AS32">
        <f t="shared" si="5"/>
        <v>1</v>
      </c>
      <c r="AT32">
        <f t="shared" si="5"/>
        <v>1</v>
      </c>
      <c r="AU32">
        <f t="shared" si="5"/>
        <v>1</v>
      </c>
      <c r="AV32">
        <f t="shared" si="5"/>
        <v>1</v>
      </c>
      <c r="AW32">
        <f t="shared" si="5"/>
        <v>1</v>
      </c>
      <c r="AX32">
        <f t="shared" si="5"/>
        <v>1</v>
      </c>
      <c r="AY32">
        <f t="shared" si="5"/>
        <v>1</v>
      </c>
      <c r="AZ32">
        <f t="shared" si="5"/>
        <v>0</v>
      </c>
      <c r="BA32">
        <f t="shared" si="5"/>
        <v>1</v>
      </c>
      <c r="BB32">
        <f t="shared" si="5"/>
        <v>1</v>
      </c>
      <c r="BC32">
        <f t="shared" si="10"/>
        <v>1</v>
      </c>
      <c r="BE32">
        <f t="shared" si="6"/>
        <v>0</v>
      </c>
      <c r="BF32">
        <f t="shared" si="6"/>
        <v>0</v>
      </c>
      <c r="BG32">
        <f t="shared" si="6"/>
        <v>0</v>
      </c>
      <c r="BH32">
        <f t="shared" si="6"/>
        <v>0</v>
      </c>
      <c r="BI32">
        <f t="shared" si="6"/>
        <v>0</v>
      </c>
      <c r="BJ32">
        <f t="shared" si="6"/>
        <v>0</v>
      </c>
      <c r="BK32">
        <f t="shared" si="6"/>
        <v>0</v>
      </c>
      <c r="BL32">
        <f t="shared" si="6"/>
        <v>0</v>
      </c>
      <c r="BM32">
        <f t="shared" si="6"/>
        <v>0</v>
      </c>
      <c r="BN32">
        <f t="shared" si="6"/>
        <v>0</v>
      </c>
      <c r="BO32">
        <f t="shared" si="6"/>
        <v>0</v>
      </c>
      <c r="BP32">
        <f t="shared" si="6"/>
        <v>0</v>
      </c>
      <c r="BQ32">
        <f t="shared" si="6"/>
        <v>0</v>
      </c>
      <c r="BR32">
        <f t="shared" si="6"/>
        <v>0</v>
      </c>
      <c r="BS32">
        <f t="shared" si="6"/>
        <v>0</v>
      </c>
      <c r="BT32">
        <f t="shared" si="6"/>
        <v>0</v>
      </c>
      <c r="BU32">
        <f t="shared" si="11"/>
        <v>0</v>
      </c>
      <c r="BW32">
        <f t="shared" si="7"/>
        <v>0</v>
      </c>
      <c r="BX32">
        <f t="shared" si="7"/>
        <v>0</v>
      </c>
      <c r="BY32">
        <f t="shared" si="7"/>
        <v>0</v>
      </c>
      <c r="BZ32">
        <f t="shared" si="7"/>
        <v>0</v>
      </c>
      <c r="CA32">
        <f t="shared" si="7"/>
        <v>0</v>
      </c>
      <c r="CB32">
        <f t="shared" si="7"/>
        <v>0</v>
      </c>
      <c r="CC32">
        <f t="shared" si="7"/>
        <v>0</v>
      </c>
      <c r="CD32">
        <f t="shared" si="7"/>
        <v>0</v>
      </c>
      <c r="CE32">
        <f t="shared" si="7"/>
        <v>0</v>
      </c>
      <c r="CF32">
        <f t="shared" si="7"/>
        <v>0</v>
      </c>
      <c r="CG32">
        <f t="shared" si="7"/>
        <v>0</v>
      </c>
      <c r="CH32">
        <f t="shared" si="7"/>
        <v>0</v>
      </c>
      <c r="CI32">
        <f t="shared" si="7"/>
        <v>0</v>
      </c>
      <c r="CJ32">
        <f t="shared" si="7"/>
        <v>1</v>
      </c>
      <c r="CK32">
        <f t="shared" si="7"/>
        <v>0</v>
      </c>
      <c r="CL32">
        <f t="shared" si="7"/>
        <v>0</v>
      </c>
      <c r="CM32">
        <f t="shared" si="12"/>
        <v>0</v>
      </c>
      <c r="CO32">
        <f t="shared" si="8"/>
        <v>1</v>
      </c>
      <c r="CP32">
        <f t="shared" si="8"/>
        <v>1</v>
      </c>
      <c r="CQ32">
        <f t="shared" si="8"/>
        <v>1</v>
      </c>
      <c r="CR32">
        <f t="shared" si="8"/>
        <v>1</v>
      </c>
      <c r="CS32">
        <f t="shared" si="8"/>
        <v>1</v>
      </c>
      <c r="CT32">
        <f t="shared" si="8"/>
        <v>1</v>
      </c>
      <c r="CU32">
        <f t="shared" si="8"/>
        <v>1</v>
      </c>
      <c r="CV32">
        <f t="shared" si="8"/>
        <v>1</v>
      </c>
      <c r="CW32">
        <f t="shared" si="8"/>
        <v>1</v>
      </c>
      <c r="CX32">
        <f t="shared" si="8"/>
        <v>1</v>
      </c>
      <c r="CY32">
        <f t="shared" si="8"/>
        <v>1</v>
      </c>
      <c r="CZ32">
        <f t="shared" si="8"/>
        <v>1</v>
      </c>
      <c r="DA32">
        <f t="shared" si="8"/>
        <v>1</v>
      </c>
      <c r="DB32">
        <f t="shared" si="8"/>
        <v>0</v>
      </c>
      <c r="DC32">
        <f t="shared" si="8"/>
        <v>1</v>
      </c>
      <c r="DD32">
        <f t="shared" si="8"/>
        <v>0</v>
      </c>
      <c r="DE32">
        <f t="shared" si="13"/>
        <v>1</v>
      </c>
      <c r="DG32">
        <f t="shared" si="9"/>
        <v>0</v>
      </c>
      <c r="DH32">
        <f t="shared" si="9"/>
        <v>0</v>
      </c>
      <c r="DI32">
        <f t="shared" si="9"/>
        <v>0</v>
      </c>
      <c r="DJ32">
        <f t="shared" si="9"/>
        <v>0</v>
      </c>
      <c r="DK32">
        <f t="shared" si="9"/>
        <v>0</v>
      </c>
      <c r="DL32">
        <f t="shared" si="9"/>
        <v>0</v>
      </c>
      <c r="DM32">
        <f t="shared" si="9"/>
        <v>0</v>
      </c>
      <c r="DN32">
        <f t="shared" si="9"/>
        <v>0</v>
      </c>
      <c r="DO32">
        <f t="shared" si="9"/>
        <v>0</v>
      </c>
      <c r="DP32">
        <f t="shared" si="9"/>
        <v>0</v>
      </c>
      <c r="DQ32">
        <f t="shared" si="9"/>
        <v>0</v>
      </c>
      <c r="DR32">
        <f t="shared" si="9"/>
        <v>0</v>
      </c>
      <c r="DS32">
        <f t="shared" si="9"/>
        <v>0</v>
      </c>
      <c r="DT32">
        <f t="shared" si="9"/>
        <v>0</v>
      </c>
      <c r="DU32">
        <f t="shared" si="9"/>
        <v>0</v>
      </c>
      <c r="DV32">
        <f t="shared" si="9"/>
        <v>1</v>
      </c>
      <c r="DW32">
        <f t="shared" si="14"/>
        <v>0</v>
      </c>
    </row>
    <row r="33" spans="1:127" x14ac:dyDescent="0.2">
      <c r="A33" s="20" t="s">
        <v>129</v>
      </c>
      <c r="B33" s="20" t="s">
        <v>53</v>
      </c>
      <c r="C33" s="20" t="s">
        <v>53</v>
      </c>
      <c r="D33" s="20"/>
      <c r="E33" s="20" t="s">
        <v>53</v>
      </c>
      <c r="F33" s="20" t="s">
        <v>53</v>
      </c>
      <c r="G33" s="20" t="s">
        <v>53</v>
      </c>
      <c r="H33" s="20" t="s">
        <v>53</v>
      </c>
      <c r="I33" s="20" t="s">
        <v>53</v>
      </c>
      <c r="J33" s="21" t="s">
        <v>53</v>
      </c>
      <c r="K33" s="20" t="s">
        <v>53</v>
      </c>
      <c r="L33" s="20" t="s">
        <v>53</v>
      </c>
      <c r="M33" s="20" t="s">
        <v>53</v>
      </c>
      <c r="N33" s="20" t="s">
        <v>53</v>
      </c>
      <c r="O33" s="20" t="s">
        <v>53</v>
      </c>
      <c r="P33" s="20"/>
      <c r="Q33" s="20"/>
      <c r="R33" s="20"/>
      <c r="U33" s="20" t="s">
        <v>53</v>
      </c>
      <c r="V33" s="20" t="s">
        <v>53</v>
      </c>
      <c r="W33" s="20" t="s">
        <v>53</v>
      </c>
      <c r="X33" s="20" t="s">
        <v>53</v>
      </c>
      <c r="Y33" s="20" t="s">
        <v>53</v>
      </c>
      <c r="Z33" s="20" t="s">
        <v>53</v>
      </c>
      <c r="AA33" s="20" t="s">
        <v>53</v>
      </c>
      <c r="AB33" s="20" t="s">
        <v>53</v>
      </c>
      <c r="AC33" s="20" t="s">
        <v>53</v>
      </c>
      <c r="AD33" s="20" t="s">
        <v>53</v>
      </c>
      <c r="AE33" s="20" t="s">
        <v>53</v>
      </c>
      <c r="AF33" s="20" t="s">
        <v>53</v>
      </c>
      <c r="AG33" s="20" t="s">
        <v>53</v>
      </c>
      <c r="AH33" s="20" t="s">
        <v>53</v>
      </c>
      <c r="AI33" s="20"/>
      <c r="AJ33" s="20"/>
      <c r="AK33" s="20" t="s">
        <v>53</v>
      </c>
      <c r="AM33">
        <f t="shared" si="5"/>
        <v>1</v>
      </c>
      <c r="AN33">
        <f t="shared" si="5"/>
        <v>1</v>
      </c>
      <c r="AO33">
        <f t="shared" si="5"/>
        <v>0</v>
      </c>
      <c r="AP33">
        <f t="shared" si="5"/>
        <v>1</v>
      </c>
      <c r="AQ33">
        <f t="shared" si="5"/>
        <v>1</v>
      </c>
      <c r="AR33">
        <f t="shared" si="5"/>
        <v>1</v>
      </c>
      <c r="AS33">
        <f t="shared" si="5"/>
        <v>1</v>
      </c>
      <c r="AT33">
        <f t="shared" si="5"/>
        <v>1</v>
      </c>
      <c r="AU33">
        <f t="shared" si="5"/>
        <v>1</v>
      </c>
      <c r="AV33">
        <f t="shared" si="5"/>
        <v>1</v>
      </c>
      <c r="AW33">
        <f t="shared" si="5"/>
        <v>1</v>
      </c>
      <c r="AX33">
        <f t="shared" si="5"/>
        <v>1</v>
      </c>
      <c r="AY33">
        <f t="shared" si="5"/>
        <v>1</v>
      </c>
      <c r="AZ33">
        <f t="shared" si="5"/>
        <v>1</v>
      </c>
      <c r="BA33">
        <f t="shared" si="5"/>
        <v>1</v>
      </c>
      <c r="BB33">
        <f t="shared" si="5"/>
        <v>1</v>
      </c>
      <c r="BC33">
        <f t="shared" si="10"/>
        <v>0</v>
      </c>
      <c r="BE33">
        <f t="shared" si="6"/>
        <v>0</v>
      </c>
      <c r="BF33">
        <f t="shared" si="6"/>
        <v>0</v>
      </c>
      <c r="BG33">
        <f t="shared" si="6"/>
        <v>0</v>
      </c>
      <c r="BH33">
        <f t="shared" si="6"/>
        <v>0</v>
      </c>
      <c r="BI33">
        <f t="shared" si="6"/>
        <v>0</v>
      </c>
      <c r="BJ33">
        <f t="shared" si="6"/>
        <v>0</v>
      </c>
      <c r="BK33">
        <f t="shared" si="6"/>
        <v>0</v>
      </c>
      <c r="BL33">
        <f t="shared" si="6"/>
        <v>0</v>
      </c>
      <c r="BM33">
        <f t="shared" si="6"/>
        <v>0</v>
      </c>
      <c r="BN33">
        <f t="shared" si="6"/>
        <v>0</v>
      </c>
      <c r="BO33">
        <f t="shared" si="6"/>
        <v>0</v>
      </c>
      <c r="BP33">
        <f t="shared" si="6"/>
        <v>0</v>
      </c>
      <c r="BQ33">
        <f t="shared" si="6"/>
        <v>0</v>
      </c>
      <c r="BR33">
        <f t="shared" si="6"/>
        <v>0</v>
      </c>
      <c r="BS33">
        <f t="shared" si="6"/>
        <v>0</v>
      </c>
      <c r="BT33">
        <f t="shared" si="6"/>
        <v>0</v>
      </c>
      <c r="BU33">
        <f t="shared" si="11"/>
        <v>0</v>
      </c>
      <c r="BW33">
        <f t="shared" si="7"/>
        <v>0</v>
      </c>
      <c r="BX33">
        <f t="shared" si="7"/>
        <v>0</v>
      </c>
      <c r="BY33">
        <f t="shared" si="7"/>
        <v>1</v>
      </c>
      <c r="BZ33">
        <f t="shared" si="7"/>
        <v>0</v>
      </c>
      <c r="CA33">
        <f t="shared" si="7"/>
        <v>0</v>
      </c>
      <c r="CB33">
        <f t="shared" si="7"/>
        <v>0</v>
      </c>
      <c r="CC33">
        <f t="shared" si="7"/>
        <v>0</v>
      </c>
      <c r="CD33">
        <f t="shared" si="7"/>
        <v>0</v>
      </c>
      <c r="CE33">
        <f t="shared" si="7"/>
        <v>0</v>
      </c>
      <c r="CF33">
        <f t="shared" si="7"/>
        <v>0</v>
      </c>
      <c r="CG33">
        <f t="shared" si="7"/>
        <v>0</v>
      </c>
      <c r="CH33">
        <f t="shared" si="7"/>
        <v>0</v>
      </c>
      <c r="CI33">
        <f t="shared" si="7"/>
        <v>0</v>
      </c>
      <c r="CJ33">
        <f t="shared" si="7"/>
        <v>0</v>
      </c>
      <c r="CK33">
        <f t="shared" si="7"/>
        <v>0</v>
      </c>
      <c r="CL33">
        <f t="shared" si="7"/>
        <v>0</v>
      </c>
      <c r="CM33">
        <f t="shared" si="12"/>
        <v>1</v>
      </c>
      <c r="CO33">
        <f t="shared" si="8"/>
        <v>1</v>
      </c>
      <c r="CP33">
        <f t="shared" si="8"/>
        <v>1</v>
      </c>
      <c r="CQ33">
        <f t="shared" si="8"/>
        <v>0</v>
      </c>
      <c r="CR33">
        <f t="shared" si="8"/>
        <v>1</v>
      </c>
      <c r="CS33">
        <f t="shared" si="8"/>
        <v>1</v>
      </c>
      <c r="CT33">
        <f t="shared" si="8"/>
        <v>1</v>
      </c>
      <c r="CU33">
        <f t="shared" si="8"/>
        <v>1</v>
      </c>
      <c r="CV33">
        <f t="shared" si="8"/>
        <v>1</v>
      </c>
      <c r="CW33">
        <f t="shared" si="8"/>
        <v>1</v>
      </c>
      <c r="CX33">
        <f t="shared" si="8"/>
        <v>1</v>
      </c>
      <c r="CY33">
        <f t="shared" si="8"/>
        <v>1</v>
      </c>
      <c r="CZ33">
        <f t="shared" si="8"/>
        <v>1</v>
      </c>
      <c r="DA33">
        <f t="shared" si="8"/>
        <v>1</v>
      </c>
      <c r="DB33">
        <f t="shared" si="8"/>
        <v>1</v>
      </c>
      <c r="DC33">
        <f t="shared" si="8"/>
        <v>0</v>
      </c>
      <c r="DD33">
        <f t="shared" si="8"/>
        <v>0</v>
      </c>
      <c r="DE33">
        <f t="shared" si="13"/>
        <v>0</v>
      </c>
      <c r="DG33">
        <f t="shared" si="9"/>
        <v>0</v>
      </c>
      <c r="DH33">
        <f t="shared" si="9"/>
        <v>0</v>
      </c>
      <c r="DI33">
        <f t="shared" si="9"/>
        <v>0</v>
      </c>
      <c r="DJ33">
        <f t="shared" si="9"/>
        <v>0</v>
      </c>
      <c r="DK33">
        <f t="shared" si="9"/>
        <v>0</v>
      </c>
      <c r="DL33">
        <f t="shared" si="9"/>
        <v>0</v>
      </c>
      <c r="DM33">
        <f t="shared" si="9"/>
        <v>0</v>
      </c>
      <c r="DN33">
        <f t="shared" si="9"/>
        <v>0</v>
      </c>
      <c r="DO33">
        <f t="shared" si="9"/>
        <v>0</v>
      </c>
      <c r="DP33">
        <f t="shared" si="9"/>
        <v>0</v>
      </c>
      <c r="DQ33">
        <f t="shared" si="9"/>
        <v>0</v>
      </c>
      <c r="DR33">
        <f t="shared" si="9"/>
        <v>0</v>
      </c>
      <c r="DS33">
        <f t="shared" si="9"/>
        <v>0</v>
      </c>
      <c r="DT33">
        <f t="shared" si="9"/>
        <v>0</v>
      </c>
      <c r="DU33">
        <f t="shared" si="9"/>
        <v>1</v>
      </c>
      <c r="DV33">
        <f t="shared" si="9"/>
        <v>1</v>
      </c>
      <c r="DW33">
        <f t="shared" si="14"/>
        <v>0</v>
      </c>
    </row>
    <row r="34" spans="1:127" x14ac:dyDescent="0.2">
      <c r="A34" s="20" t="s">
        <v>130</v>
      </c>
      <c r="B34" s="20" t="s">
        <v>53</v>
      </c>
      <c r="C34" s="20" t="s">
        <v>53</v>
      </c>
      <c r="D34" s="20" t="s">
        <v>53</v>
      </c>
      <c r="E34" s="20"/>
      <c r="F34" s="20"/>
      <c r="G34" s="20" t="s">
        <v>53</v>
      </c>
      <c r="H34" s="20" t="s">
        <v>53</v>
      </c>
      <c r="I34" s="20" t="s">
        <v>53</v>
      </c>
      <c r="J34" s="21" t="s">
        <v>53</v>
      </c>
      <c r="K34" s="20" t="s">
        <v>53</v>
      </c>
      <c r="L34" s="20"/>
      <c r="M34" s="20" t="s">
        <v>53</v>
      </c>
      <c r="N34" s="20"/>
      <c r="O34" s="20" t="s">
        <v>53</v>
      </c>
      <c r="P34" s="20" t="s">
        <v>53</v>
      </c>
      <c r="Q34" s="20" t="s">
        <v>53</v>
      </c>
      <c r="R34" s="20" t="s">
        <v>53</v>
      </c>
      <c r="U34" s="20" t="s">
        <v>53</v>
      </c>
      <c r="V34" s="20" t="s">
        <v>53</v>
      </c>
      <c r="W34" s="20" t="s">
        <v>53</v>
      </c>
      <c r="X34" s="20"/>
      <c r="Y34" s="20" t="s">
        <v>53</v>
      </c>
      <c r="Z34" s="20" t="s">
        <v>53</v>
      </c>
      <c r="AA34" s="20" t="s">
        <v>53</v>
      </c>
      <c r="AB34" s="20" t="s">
        <v>53</v>
      </c>
      <c r="AC34" s="20" t="s">
        <v>53</v>
      </c>
      <c r="AD34" s="20" t="s">
        <v>53</v>
      </c>
      <c r="AE34" s="20"/>
      <c r="AF34" s="20" t="s">
        <v>53</v>
      </c>
      <c r="AG34" s="20"/>
      <c r="AH34" s="20" t="s">
        <v>53</v>
      </c>
      <c r="AI34" s="20" t="s">
        <v>53</v>
      </c>
      <c r="AJ34" s="20" t="s">
        <v>53</v>
      </c>
      <c r="AK34" s="20" t="s">
        <v>53</v>
      </c>
      <c r="AM34">
        <f t="shared" ref="AM34:BB68" si="15">IF(B34=U34,1,0)</f>
        <v>1</v>
      </c>
      <c r="AN34">
        <f t="shared" si="15"/>
        <v>1</v>
      </c>
      <c r="AO34">
        <f t="shared" si="15"/>
        <v>1</v>
      </c>
      <c r="AP34">
        <f t="shared" si="15"/>
        <v>1</v>
      </c>
      <c r="AQ34">
        <f t="shared" si="15"/>
        <v>0</v>
      </c>
      <c r="AR34">
        <f t="shared" si="15"/>
        <v>1</v>
      </c>
      <c r="AS34">
        <f t="shared" si="15"/>
        <v>1</v>
      </c>
      <c r="AT34">
        <f t="shared" si="15"/>
        <v>1</v>
      </c>
      <c r="AU34">
        <f t="shared" si="15"/>
        <v>1</v>
      </c>
      <c r="AV34">
        <f t="shared" si="15"/>
        <v>1</v>
      </c>
      <c r="AW34">
        <f t="shared" si="15"/>
        <v>1</v>
      </c>
      <c r="AX34">
        <f t="shared" si="15"/>
        <v>1</v>
      </c>
      <c r="AY34">
        <f t="shared" si="15"/>
        <v>1</v>
      </c>
      <c r="AZ34">
        <f t="shared" si="15"/>
        <v>1</v>
      </c>
      <c r="BA34">
        <f t="shared" si="15"/>
        <v>1</v>
      </c>
      <c r="BB34">
        <f t="shared" si="15"/>
        <v>1</v>
      </c>
      <c r="BC34">
        <f t="shared" si="10"/>
        <v>1</v>
      </c>
      <c r="BE34">
        <f t="shared" ref="BE34:BT68" si="16">IF(AND(B34="X", U34 &lt;&gt;"X"),1,0)</f>
        <v>0</v>
      </c>
      <c r="BF34">
        <f t="shared" si="16"/>
        <v>0</v>
      </c>
      <c r="BG34">
        <f t="shared" si="16"/>
        <v>0</v>
      </c>
      <c r="BH34">
        <f t="shared" si="16"/>
        <v>0</v>
      </c>
      <c r="BI34">
        <f t="shared" si="16"/>
        <v>0</v>
      </c>
      <c r="BJ34">
        <f t="shared" si="16"/>
        <v>0</v>
      </c>
      <c r="BK34">
        <f t="shared" si="16"/>
        <v>0</v>
      </c>
      <c r="BL34">
        <f t="shared" si="16"/>
        <v>0</v>
      </c>
      <c r="BM34">
        <f t="shared" si="16"/>
        <v>0</v>
      </c>
      <c r="BN34">
        <f t="shared" si="16"/>
        <v>0</v>
      </c>
      <c r="BO34">
        <f t="shared" si="16"/>
        <v>0</v>
      </c>
      <c r="BP34">
        <f t="shared" si="16"/>
        <v>0</v>
      </c>
      <c r="BQ34">
        <f t="shared" si="16"/>
        <v>0</v>
      </c>
      <c r="BR34">
        <f t="shared" si="16"/>
        <v>0</v>
      </c>
      <c r="BS34">
        <f t="shared" si="16"/>
        <v>0</v>
      </c>
      <c r="BT34">
        <f t="shared" si="16"/>
        <v>0</v>
      </c>
      <c r="BU34">
        <f t="shared" si="11"/>
        <v>0</v>
      </c>
      <c r="BW34">
        <f t="shared" ref="BW34:CL68" si="17">IF(AND(B34&lt;&gt;"X", U34 ="X"),1,0)</f>
        <v>0</v>
      </c>
      <c r="BX34">
        <f t="shared" si="17"/>
        <v>0</v>
      </c>
      <c r="BY34">
        <f t="shared" si="17"/>
        <v>0</v>
      </c>
      <c r="BZ34">
        <f t="shared" si="17"/>
        <v>0</v>
      </c>
      <c r="CA34">
        <f t="shared" si="17"/>
        <v>1</v>
      </c>
      <c r="CB34">
        <f t="shared" si="17"/>
        <v>0</v>
      </c>
      <c r="CC34">
        <f t="shared" si="17"/>
        <v>0</v>
      </c>
      <c r="CD34">
        <f t="shared" si="17"/>
        <v>0</v>
      </c>
      <c r="CE34">
        <f t="shared" si="17"/>
        <v>0</v>
      </c>
      <c r="CF34">
        <f t="shared" si="17"/>
        <v>0</v>
      </c>
      <c r="CG34">
        <f t="shared" si="17"/>
        <v>0</v>
      </c>
      <c r="CH34">
        <f t="shared" si="17"/>
        <v>0</v>
      </c>
      <c r="CI34">
        <f t="shared" si="17"/>
        <v>0</v>
      </c>
      <c r="CJ34">
        <f t="shared" si="17"/>
        <v>0</v>
      </c>
      <c r="CK34">
        <f t="shared" si="17"/>
        <v>0</v>
      </c>
      <c r="CL34">
        <f t="shared" si="17"/>
        <v>0</v>
      </c>
      <c r="CM34">
        <f t="shared" si="12"/>
        <v>0</v>
      </c>
      <c r="CO34">
        <f t="shared" ref="CO34:DD68" si="18">IF(AND(B34=U34, B34="X"),1,0)</f>
        <v>1</v>
      </c>
      <c r="CP34">
        <f t="shared" si="18"/>
        <v>1</v>
      </c>
      <c r="CQ34">
        <f t="shared" si="18"/>
        <v>1</v>
      </c>
      <c r="CR34">
        <f t="shared" si="18"/>
        <v>0</v>
      </c>
      <c r="CS34">
        <f t="shared" si="18"/>
        <v>0</v>
      </c>
      <c r="CT34">
        <f t="shared" si="18"/>
        <v>1</v>
      </c>
      <c r="CU34">
        <f t="shared" si="18"/>
        <v>1</v>
      </c>
      <c r="CV34">
        <f t="shared" si="18"/>
        <v>1</v>
      </c>
      <c r="CW34">
        <f t="shared" si="18"/>
        <v>1</v>
      </c>
      <c r="CX34">
        <f t="shared" si="18"/>
        <v>1</v>
      </c>
      <c r="CY34">
        <f t="shared" si="18"/>
        <v>0</v>
      </c>
      <c r="CZ34">
        <f t="shared" si="18"/>
        <v>1</v>
      </c>
      <c r="DA34">
        <f t="shared" si="18"/>
        <v>0</v>
      </c>
      <c r="DB34">
        <f t="shared" si="18"/>
        <v>1</v>
      </c>
      <c r="DC34">
        <f t="shared" si="18"/>
        <v>1</v>
      </c>
      <c r="DD34">
        <f t="shared" si="18"/>
        <v>1</v>
      </c>
      <c r="DE34">
        <f t="shared" si="13"/>
        <v>1</v>
      </c>
      <c r="DG34">
        <f t="shared" ref="DG34:DV68" si="19">IF(AND(B34=U34, B34&lt;&gt;"X"),1,0)</f>
        <v>0</v>
      </c>
      <c r="DH34">
        <f t="shared" si="19"/>
        <v>0</v>
      </c>
      <c r="DI34">
        <f t="shared" si="19"/>
        <v>0</v>
      </c>
      <c r="DJ34">
        <f t="shared" si="19"/>
        <v>1</v>
      </c>
      <c r="DK34">
        <f t="shared" si="19"/>
        <v>0</v>
      </c>
      <c r="DL34">
        <f t="shared" si="19"/>
        <v>0</v>
      </c>
      <c r="DM34">
        <f t="shared" si="19"/>
        <v>0</v>
      </c>
      <c r="DN34">
        <f t="shared" si="19"/>
        <v>0</v>
      </c>
      <c r="DO34">
        <f t="shared" si="19"/>
        <v>0</v>
      </c>
      <c r="DP34">
        <f t="shared" si="19"/>
        <v>0</v>
      </c>
      <c r="DQ34">
        <f t="shared" si="19"/>
        <v>1</v>
      </c>
      <c r="DR34">
        <f t="shared" si="19"/>
        <v>0</v>
      </c>
      <c r="DS34">
        <f t="shared" si="19"/>
        <v>1</v>
      </c>
      <c r="DT34">
        <f t="shared" si="19"/>
        <v>0</v>
      </c>
      <c r="DU34">
        <f t="shared" si="19"/>
        <v>0</v>
      </c>
      <c r="DV34">
        <f t="shared" si="19"/>
        <v>0</v>
      </c>
      <c r="DW34">
        <f t="shared" si="14"/>
        <v>0</v>
      </c>
    </row>
    <row r="35" spans="1:127" x14ac:dyDescent="0.2">
      <c r="A35" s="20" t="s">
        <v>131</v>
      </c>
      <c r="B35" s="20" t="s">
        <v>53</v>
      </c>
      <c r="C35" s="20" t="s">
        <v>53</v>
      </c>
      <c r="D35" s="20" t="s">
        <v>53</v>
      </c>
      <c r="E35" s="20" t="s">
        <v>53</v>
      </c>
      <c r="F35" s="20" t="s">
        <v>53</v>
      </c>
      <c r="G35" s="20" t="s">
        <v>53</v>
      </c>
      <c r="H35" s="20" t="s">
        <v>53</v>
      </c>
      <c r="I35" s="20" t="s">
        <v>53</v>
      </c>
      <c r="J35" s="21" t="s">
        <v>53</v>
      </c>
      <c r="K35" s="20" t="s">
        <v>53</v>
      </c>
      <c r="L35" s="20" t="s">
        <v>53</v>
      </c>
      <c r="M35" s="20" t="s">
        <v>53</v>
      </c>
      <c r="N35" s="20"/>
      <c r="O35" s="20" t="s">
        <v>53</v>
      </c>
      <c r="P35" s="20" t="s">
        <v>53</v>
      </c>
      <c r="Q35" s="20"/>
      <c r="R35" s="20"/>
      <c r="U35" s="20" t="s">
        <v>53</v>
      </c>
      <c r="V35" s="20" t="s">
        <v>53</v>
      </c>
      <c r="W35" s="20" t="s">
        <v>53</v>
      </c>
      <c r="X35" s="20" t="s">
        <v>53</v>
      </c>
      <c r="Y35" s="20" t="s">
        <v>53</v>
      </c>
      <c r="Z35" s="20" t="s">
        <v>53</v>
      </c>
      <c r="AA35" s="20" t="s">
        <v>53</v>
      </c>
      <c r="AB35" s="20" t="s">
        <v>53</v>
      </c>
      <c r="AC35" s="20" t="s">
        <v>53</v>
      </c>
      <c r="AD35" s="20" t="s">
        <v>53</v>
      </c>
      <c r="AE35" s="20" t="s">
        <v>53</v>
      </c>
      <c r="AF35" s="20" t="s">
        <v>53</v>
      </c>
      <c r="AG35" s="20" t="s">
        <v>53</v>
      </c>
      <c r="AH35" s="20" t="s">
        <v>53</v>
      </c>
      <c r="AI35" s="20" t="s">
        <v>53</v>
      </c>
      <c r="AJ35" s="20"/>
      <c r="AK35" s="20" t="s">
        <v>53</v>
      </c>
      <c r="AM35">
        <f t="shared" si="15"/>
        <v>1</v>
      </c>
      <c r="AN35">
        <f t="shared" si="15"/>
        <v>1</v>
      </c>
      <c r="AO35">
        <f t="shared" si="15"/>
        <v>1</v>
      </c>
      <c r="AP35">
        <f t="shared" si="15"/>
        <v>1</v>
      </c>
      <c r="AQ35">
        <f t="shared" si="15"/>
        <v>1</v>
      </c>
      <c r="AR35">
        <f t="shared" si="15"/>
        <v>1</v>
      </c>
      <c r="AS35">
        <f t="shared" si="15"/>
        <v>1</v>
      </c>
      <c r="AT35">
        <f t="shared" si="15"/>
        <v>1</v>
      </c>
      <c r="AU35">
        <f t="shared" si="15"/>
        <v>1</v>
      </c>
      <c r="AV35">
        <f t="shared" si="15"/>
        <v>1</v>
      </c>
      <c r="AW35">
        <f t="shared" si="15"/>
        <v>1</v>
      </c>
      <c r="AX35">
        <f t="shared" si="15"/>
        <v>1</v>
      </c>
      <c r="AY35">
        <f t="shared" si="15"/>
        <v>0</v>
      </c>
      <c r="AZ35">
        <f t="shared" si="15"/>
        <v>1</v>
      </c>
      <c r="BA35">
        <f t="shared" si="15"/>
        <v>1</v>
      </c>
      <c r="BB35">
        <f t="shared" si="15"/>
        <v>1</v>
      </c>
      <c r="BC35">
        <f t="shared" si="10"/>
        <v>0</v>
      </c>
      <c r="BE35">
        <f t="shared" si="16"/>
        <v>0</v>
      </c>
      <c r="BF35">
        <f t="shared" si="16"/>
        <v>0</v>
      </c>
      <c r="BG35">
        <f t="shared" si="16"/>
        <v>0</v>
      </c>
      <c r="BH35">
        <f t="shared" si="16"/>
        <v>0</v>
      </c>
      <c r="BI35">
        <f t="shared" si="16"/>
        <v>0</v>
      </c>
      <c r="BJ35">
        <f t="shared" si="16"/>
        <v>0</v>
      </c>
      <c r="BK35">
        <f t="shared" si="16"/>
        <v>0</v>
      </c>
      <c r="BL35">
        <f t="shared" si="16"/>
        <v>0</v>
      </c>
      <c r="BM35">
        <f t="shared" si="16"/>
        <v>0</v>
      </c>
      <c r="BN35">
        <f t="shared" si="16"/>
        <v>0</v>
      </c>
      <c r="BO35">
        <f t="shared" si="16"/>
        <v>0</v>
      </c>
      <c r="BP35">
        <f t="shared" si="16"/>
        <v>0</v>
      </c>
      <c r="BQ35">
        <f t="shared" si="16"/>
        <v>0</v>
      </c>
      <c r="BR35">
        <f t="shared" si="16"/>
        <v>0</v>
      </c>
      <c r="BS35">
        <f t="shared" si="16"/>
        <v>0</v>
      </c>
      <c r="BT35">
        <f t="shared" si="16"/>
        <v>0</v>
      </c>
      <c r="BU35">
        <f t="shared" si="11"/>
        <v>0</v>
      </c>
      <c r="BW35">
        <f t="shared" si="17"/>
        <v>0</v>
      </c>
      <c r="BX35">
        <f t="shared" si="17"/>
        <v>0</v>
      </c>
      <c r="BY35">
        <f t="shared" si="17"/>
        <v>0</v>
      </c>
      <c r="BZ35">
        <f t="shared" si="17"/>
        <v>0</v>
      </c>
      <c r="CA35">
        <f t="shared" si="17"/>
        <v>0</v>
      </c>
      <c r="CB35">
        <f t="shared" si="17"/>
        <v>0</v>
      </c>
      <c r="CC35">
        <f t="shared" si="17"/>
        <v>0</v>
      </c>
      <c r="CD35">
        <f t="shared" si="17"/>
        <v>0</v>
      </c>
      <c r="CE35">
        <f t="shared" si="17"/>
        <v>0</v>
      </c>
      <c r="CF35">
        <f t="shared" si="17"/>
        <v>0</v>
      </c>
      <c r="CG35">
        <f t="shared" si="17"/>
        <v>0</v>
      </c>
      <c r="CH35">
        <f t="shared" si="17"/>
        <v>0</v>
      </c>
      <c r="CI35">
        <f t="shared" si="17"/>
        <v>1</v>
      </c>
      <c r="CJ35">
        <f t="shared" si="17"/>
        <v>0</v>
      </c>
      <c r="CK35">
        <f t="shared" si="17"/>
        <v>0</v>
      </c>
      <c r="CL35">
        <f t="shared" si="17"/>
        <v>0</v>
      </c>
      <c r="CM35">
        <f t="shared" si="12"/>
        <v>1</v>
      </c>
      <c r="CO35">
        <f t="shared" si="18"/>
        <v>1</v>
      </c>
      <c r="CP35">
        <f t="shared" si="18"/>
        <v>1</v>
      </c>
      <c r="CQ35">
        <f t="shared" si="18"/>
        <v>1</v>
      </c>
      <c r="CR35">
        <f t="shared" si="18"/>
        <v>1</v>
      </c>
      <c r="CS35">
        <f t="shared" si="18"/>
        <v>1</v>
      </c>
      <c r="CT35">
        <f t="shared" si="18"/>
        <v>1</v>
      </c>
      <c r="CU35">
        <f t="shared" si="18"/>
        <v>1</v>
      </c>
      <c r="CV35">
        <f t="shared" si="18"/>
        <v>1</v>
      </c>
      <c r="CW35">
        <f t="shared" si="18"/>
        <v>1</v>
      </c>
      <c r="CX35">
        <f t="shared" si="18"/>
        <v>1</v>
      </c>
      <c r="CY35">
        <f t="shared" si="18"/>
        <v>1</v>
      </c>
      <c r="CZ35">
        <f t="shared" si="18"/>
        <v>1</v>
      </c>
      <c r="DA35">
        <f t="shared" si="18"/>
        <v>0</v>
      </c>
      <c r="DB35">
        <f t="shared" si="18"/>
        <v>1</v>
      </c>
      <c r="DC35">
        <f t="shared" si="18"/>
        <v>1</v>
      </c>
      <c r="DD35">
        <f t="shared" si="18"/>
        <v>0</v>
      </c>
      <c r="DE35">
        <f t="shared" si="13"/>
        <v>0</v>
      </c>
      <c r="DG35">
        <f t="shared" si="19"/>
        <v>0</v>
      </c>
      <c r="DH35">
        <f t="shared" si="19"/>
        <v>0</v>
      </c>
      <c r="DI35">
        <f t="shared" si="19"/>
        <v>0</v>
      </c>
      <c r="DJ35">
        <f t="shared" si="19"/>
        <v>0</v>
      </c>
      <c r="DK35">
        <f t="shared" si="19"/>
        <v>0</v>
      </c>
      <c r="DL35">
        <f t="shared" si="19"/>
        <v>0</v>
      </c>
      <c r="DM35">
        <f t="shared" si="19"/>
        <v>0</v>
      </c>
      <c r="DN35">
        <f t="shared" si="19"/>
        <v>0</v>
      </c>
      <c r="DO35">
        <f t="shared" si="19"/>
        <v>0</v>
      </c>
      <c r="DP35">
        <f t="shared" si="19"/>
        <v>0</v>
      </c>
      <c r="DQ35">
        <f t="shared" si="19"/>
        <v>0</v>
      </c>
      <c r="DR35">
        <f t="shared" si="19"/>
        <v>0</v>
      </c>
      <c r="DS35">
        <f t="shared" si="19"/>
        <v>0</v>
      </c>
      <c r="DT35">
        <f t="shared" si="19"/>
        <v>0</v>
      </c>
      <c r="DU35">
        <f t="shared" si="19"/>
        <v>0</v>
      </c>
      <c r="DV35">
        <f t="shared" si="19"/>
        <v>1</v>
      </c>
      <c r="DW35">
        <f t="shared" si="14"/>
        <v>0</v>
      </c>
    </row>
    <row r="36" spans="1:127" x14ac:dyDescent="0.2">
      <c r="A36" s="20" t="s">
        <v>159</v>
      </c>
      <c r="B36" s="20" t="s">
        <v>53</v>
      </c>
      <c r="C36" s="20" t="s">
        <v>53</v>
      </c>
      <c r="D36" s="20" t="s">
        <v>53</v>
      </c>
      <c r="E36" s="20" t="s">
        <v>53</v>
      </c>
      <c r="F36" s="20" t="s">
        <v>53</v>
      </c>
      <c r="G36" s="20"/>
      <c r="H36" s="20" t="s">
        <v>53</v>
      </c>
      <c r="I36" s="20" t="s">
        <v>53</v>
      </c>
      <c r="J36" s="21" t="s">
        <v>53</v>
      </c>
      <c r="K36" s="20" t="s">
        <v>53</v>
      </c>
      <c r="L36" s="20"/>
      <c r="M36" s="20" t="s">
        <v>53</v>
      </c>
      <c r="N36" s="20" t="s">
        <v>53</v>
      </c>
      <c r="O36" s="20" t="s">
        <v>53</v>
      </c>
      <c r="P36" s="20" t="s">
        <v>53</v>
      </c>
      <c r="Q36" s="20"/>
      <c r="R36" s="20" t="s">
        <v>53</v>
      </c>
      <c r="U36" s="20" t="s">
        <v>53</v>
      </c>
      <c r="V36" s="20" t="s">
        <v>53</v>
      </c>
      <c r="W36" s="20" t="s">
        <v>53</v>
      </c>
      <c r="X36" s="20" t="s">
        <v>53</v>
      </c>
      <c r="Y36" s="20" t="s">
        <v>53</v>
      </c>
      <c r="Z36" s="20" t="s">
        <v>53</v>
      </c>
      <c r="AA36" s="20" t="s">
        <v>53</v>
      </c>
      <c r="AB36" s="20" t="s">
        <v>53</v>
      </c>
      <c r="AC36" s="20" t="s">
        <v>53</v>
      </c>
      <c r="AD36" s="20" t="s">
        <v>53</v>
      </c>
      <c r="AE36" s="20"/>
      <c r="AF36" s="20" t="s">
        <v>53</v>
      </c>
      <c r="AG36" s="20" t="s">
        <v>53</v>
      </c>
      <c r="AH36" s="20" t="s">
        <v>53</v>
      </c>
      <c r="AI36" s="20" t="s">
        <v>53</v>
      </c>
      <c r="AJ36" s="20"/>
      <c r="AK36" s="20" t="s">
        <v>53</v>
      </c>
      <c r="AM36">
        <f t="shared" si="15"/>
        <v>1</v>
      </c>
      <c r="AN36">
        <f t="shared" si="15"/>
        <v>1</v>
      </c>
      <c r="AO36">
        <f t="shared" si="15"/>
        <v>1</v>
      </c>
      <c r="AP36">
        <f t="shared" si="15"/>
        <v>1</v>
      </c>
      <c r="AQ36">
        <f t="shared" si="15"/>
        <v>1</v>
      </c>
      <c r="AR36">
        <f t="shared" si="15"/>
        <v>0</v>
      </c>
      <c r="AS36">
        <f t="shared" si="15"/>
        <v>1</v>
      </c>
      <c r="AT36">
        <f t="shared" si="15"/>
        <v>1</v>
      </c>
      <c r="AU36">
        <f t="shared" si="15"/>
        <v>1</v>
      </c>
      <c r="AV36">
        <f t="shared" si="15"/>
        <v>1</v>
      </c>
      <c r="AW36">
        <f t="shared" si="15"/>
        <v>1</v>
      </c>
      <c r="AX36">
        <f t="shared" si="15"/>
        <v>1</v>
      </c>
      <c r="AY36">
        <f t="shared" si="15"/>
        <v>1</v>
      </c>
      <c r="AZ36">
        <f t="shared" si="15"/>
        <v>1</v>
      </c>
      <c r="BA36">
        <f t="shared" si="15"/>
        <v>1</v>
      </c>
      <c r="BB36">
        <f t="shared" si="15"/>
        <v>1</v>
      </c>
      <c r="BC36">
        <f t="shared" si="10"/>
        <v>1</v>
      </c>
      <c r="BE36">
        <f t="shared" si="16"/>
        <v>0</v>
      </c>
      <c r="BF36">
        <f t="shared" si="16"/>
        <v>0</v>
      </c>
      <c r="BG36">
        <f t="shared" si="16"/>
        <v>0</v>
      </c>
      <c r="BH36">
        <f t="shared" si="16"/>
        <v>0</v>
      </c>
      <c r="BI36">
        <f t="shared" si="16"/>
        <v>0</v>
      </c>
      <c r="BJ36">
        <f t="shared" si="16"/>
        <v>0</v>
      </c>
      <c r="BK36">
        <f t="shared" si="16"/>
        <v>0</v>
      </c>
      <c r="BL36">
        <f t="shared" si="16"/>
        <v>0</v>
      </c>
      <c r="BM36">
        <f t="shared" si="16"/>
        <v>0</v>
      </c>
      <c r="BN36">
        <f t="shared" si="16"/>
        <v>0</v>
      </c>
      <c r="BO36">
        <f t="shared" si="16"/>
        <v>0</v>
      </c>
      <c r="BP36">
        <f t="shared" si="16"/>
        <v>0</v>
      </c>
      <c r="BQ36">
        <f t="shared" si="16"/>
        <v>0</v>
      </c>
      <c r="BR36">
        <f t="shared" si="16"/>
        <v>0</v>
      </c>
      <c r="BS36">
        <f t="shared" si="16"/>
        <v>0</v>
      </c>
      <c r="BT36">
        <f t="shared" si="16"/>
        <v>0</v>
      </c>
      <c r="BU36">
        <f t="shared" si="11"/>
        <v>0</v>
      </c>
      <c r="BW36">
        <f t="shared" si="17"/>
        <v>0</v>
      </c>
      <c r="BX36">
        <f t="shared" si="17"/>
        <v>0</v>
      </c>
      <c r="BY36">
        <f t="shared" si="17"/>
        <v>0</v>
      </c>
      <c r="BZ36">
        <f t="shared" si="17"/>
        <v>0</v>
      </c>
      <c r="CA36">
        <f t="shared" si="17"/>
        <v>0</v>
      </c>
      <c r="CB36">
        <f t="shared" si="17"/>
        <v>1</v>
      </c>
      <c r="CC36">
        <f t="shared" si="17"/>
        <v>0</v>
      </c>
      <c r="CD36">
        <f t="shared" si="17"/>
        <v>0</v>
      </c>
      <c r="CE36">
        <f t="shared" si="17"/>
        <v>0</v>
      </c>
      <c r="CF36">
        <f t="shared" si="17"/>
        <v>0</v>
      </c>
      <c r="CG36">
        <f t="shared" si="17"/>
        <v>0</v>
      </c>
      <c r="CH36">
        <f t="shared" si="17"/>
        <v>0</v>
      </c>
      <c r="CI36">
        <f t="shared" si="17"/>
        <v>0</v>
      </c>
      <c r="CJ36">
        <f t="shared" si="17"/>
        <v>0</v>
      </c>
      <c r="CK36">
        <f t="shared" si="17"/>
        <v>0</v>
      </c>
      <c r="CL36">
        <f t="shared" si="17"/>
        <v>0</v>
      </c>
      <c r="CM36">
        <f t="shared" si="12"/>
        <v>0</v>
      </c>
      <c r="CO36">
        <f t="shared" si="18"/>
        <v>1</v>
      </c>
      <c r="CP36">
        <f t="shared" si="18"/>
        <v>1</v>
      </c>
      <c r="CQ36">
        <f t="shared" si="18"/>
        <v>1</v>
      </c>
      <c r="CR36">
        <f t="shared" si="18"/>
        <v>1</v>
      </c>
      <c r="CS36">
        <f t="shared" si="18"/>
        <v>1</v>
      </c>
      <c r="CT36">
        <f t="shared" si="18"/>
        <v>0</v>
      </c>
      <c r="CU36">
        <f t="shared" si="18"/>
        <v>1</v>
      </c>
      <c r="CV36">
        <f t="shared" si="18"/>
        <v>1</v>
      </c>
      <c r="CW36">
        <f t="shared" si="18"/>
        <v>1</v>
      </c>
      <c r="CX36">
        <f t="shared" si="18"/>
        <v>1</v>
      </c>
      <c r="CY36">
        <f t="shared" si="18"/>
        <v>0</v>
      </c>
      <c r="CZ36">
        <f t="shared" si="18"/>
        <v>1</v>
      </c>
      <c r="DA36">
        <f t="shared" si="18"/>
        <v>1</v>
      </c>
      <c r="DB36">
        <f t="shared" si="18"/>
        <v>1</v>
      </c>
      <c r="DC36">
        <f t="shared" si="18"/>
        <v>1</v>
      </c>
      <c r="DD36">
        <f t="shared" si="18"/>
        <v>0</v>
      </c>
      <c r="DE36">
        <f t="shared" si="13"/>
        <v>1</v>
      </c>
      <c r="DG36">
        <f t="shared" si="19"/>
        <v>0</v>
      </c>
      <c r="DH36">
        <f t="shared" si="19"/>
        <v>0</v>
      </c>
      <c r="DI36">
        <f t="shared" si="19"/>
        <v>0</v>
      </c>
      <c r="DJ36">
        <f t="shared" si="19"/>
        <v>0</v>
      </c>
      <c r="DK36">
        <f t="shared" si="19"/>
        <v>0</v>
      </c>
      <c r="DL36">
        <f t="shared" si="19"/>
        <v>0</v>
      </c>
      <c r="DM36">
        <f t="shared" si="19"/>
        <v>0</v>
      </c>
      <c r="DN36">
        <f t="shared" si="19"/>
        <v>0</v>
      </c>
      <c r="DO36">
        <f t="shared" si="19"/>
        <v>0</v>
      </c>
      <c r="DP36">
        <f t="shared" si="19"/>
        <v>0</v>
      </c>
      <c r="DQ36">
        <f t="shared" si="19"/>
        <v>1</v>
      </c>
      <c r="DR36">
        <f t="shared" si="19"/>
        <v>0</v>
      </c>
      <c r="DS36">
        <f t="shared" si="19"/>
        <v>0</v>
      </c>
      <c r="DT36">
        <f t="shared" si="19"/>
        <v>0</v>
      </c>
      <c r="DU36">
        <f t="shared" si="19"/>
        <v>0</v>
      </c>
      <c r="DV36">
        <f t="shared" si="19"/>
        <v>1</v>
      </c>
      <c r="DW36">
        <f t="shared" si="14"/>
        <v>0</v>
      </c>
    </row>
    <row r="37" spans="1:127" x14ac:dyDescent="0.2">
      <c r="A37" s="20" t="s">
        <v>160</v>
      </c>
      <c r="B37" s="20" t="s">
        <v>53</v>
      </c>
      <c r="C37" s="20" t="s">
        <v>53</v>
      </c>
      <c r="D37" s="20"/>
      <c r="E37" s="20"/>
      <c r="F37" s="20"/>
      <c r="G37" s="20"/>
      <c r="H37" s="20" t="s">
        <v>53</v>
      </c>
      <c r="I37" s="20" t="s">
        <v>53</v>
      </c>
      <c r="J37" s="21" t="s">
        <v>53</v>
      </c>
      <c r="K37" s="20" t="s">
        <v>53</v>
      </c>
      <c r="L37" s="20"/>
      <c r="M37" s="20" t="s">
        <v>53</v>
      </c>
      <c r="N37" s="20" t="s">
        <v>53</v>
      </c>
      <c r="O37" s="20" t="s">
        <v>53</v>
      </c>
      <c r="P37" s="20"/>
      <c r="Q37" s="20"/>
      <c r="R37" s="20"/>
      <c r="U37" s="20" t="s">
        <v>53</v>
      </c>
      <c r="V37" s="20" t="s">
        <v>53</v>
      </c>
      <c r="W37" s="20"/>
      <c r="X37" s="20"/>
      <c r="Y37" s="20"/>
      <c r="Z37" s="20"/>
      <c r="AA37" s="20" t="s">
        <v>53</v>
      </c>
      <c r="AB37" s="20" t="s">
        <v>53</v>
      </c>
      <c r="AC37" s="20" t="s">
        <v>53</v>
      </c>
      <c r="AD37" s="20" t="s">
        <v>53</v>
      </c>
      <c r="AE37" s="20"/>
      <c r="AF37" s="20" t="s">
        <v>53</v>
      </c>
      <c r="AG37" s="20" t="s">
        <v>53</v>
      </c>
      <c r="AH37" s="20" t="s">
        <v>53</v>
      </c>
      <c r="AI37" s="20"/>
      <c r="AJ37" s="20"/>
      <c r="AK37" s="20" t="s">
        <v>53</v>
      </c>
      <c r="AM37">
        <f t="shared" si="15"/>
        <v>1</v>
      </c>
      <c r="AN37">
        <f t="shared" si="15"/>
        <v>1</v>
      </c>
      <c r="AO37">
        <f t="shared" si="15"/>
        <v>1</v>
      </c>
      <c r="AP37">
        <f t="shared" si="15"/>
        <v>1</v>
      </c>
      <c r="AQ37">
        <f t="shared" si="15"/>
        <v>1</v>
      </c>
      <c r="AR37">
        <f t="shared" si="15"/>
        <v>1</v>
      </c>
      <c r="AS37">
        <f t="shared" si="15"/>
        <v>1</v>
      </c>
      <c r="AT37">
        <f t="shared" si="15"/>
        <v>1</v>
      </c>
      <c r="AU37">
        <f t="shared" si="15"/>
        <v>1</v>
      </c>
      <c r="AV37">
        <f t="shared" si="15"/>
        <v>1</v>
      </c>
      <c r="AW37">
        <f t="shared" si="15"/>
        <v>1</v>
      </c>
      <c r="AX37">
        <f t="shared" si="15"/>
        <v>1</v>
      </c>
      <c r="AY37">
        <f t="shared" si="15"/>
        <v>1</v>
      </c>
      <c r="AZ37">
        <f t="shared" si="15"/>
        <v>1</v>
      </c>
      <c r="BA37">
        <f t="shared" si="15"/>
        <v>1</v>
      </c>
      <c r="BB37">
        <f t="shared" si="15"/>
        <v>1</v>
      </c>
      <c r="BC37">
        <f t="shared" si="10"/>
        <v>0</v>
      </c>
      <c r="BE37">
        <f t="shared" si="16"/>
        <v>0</v>
      </c>
      <c r="BF37">
        <f t="shared" si="16"/>
        <v>0</v>
      </c>
      <c r="BG37">
        <f t="shared" si="16"/>
        <v>0</v>
      </c>
      <c r="BH37">
        <f t="shared" si="16"/>
        <v>0</v>
      </c>
      <c r="BI37">
        <f t="shared" si="16"/>
        <v>0</v>
      </c>
      <c r="BJ37">
        <f t="shared" si="16"/>
        <v>0</v>
      </c>
      <c r="BK37">
        <f t="shared" si="16"/>
        <v>0</v>
      </c>
      <c r="BL37">
        <f t="shared" si="16"/>
        <v>0</v>
      </c>
      <c r="BM37">
        <f t="shared" si="16"/>
        <v>0</v>
      </c>
      <c r="BN37">
        <f t="shared" si="16"/>
        <v>0</v>
      </c>
      <c r="BO37">
        <f t="shared" si="16"/>
        <v>0</v>
      </c>
      <c r="BP37">
        <f t="shared" si="16"/>
        <v>0</v>
      </c>
      <c r="BQ37">
        <f t="shared" si="16"/>
        <v>0</v>
      </c>
      <c r="BR37">
        <f t="shared" si="16"/>
        <v>0</v>
      </c>
      <c r="BS37">
        <f t="shared" si="16"/>
        <v>0</v>
      </c>
      <c r="BT37">
        <f t="shared" si="16"/>
        <v>0</v>
      </c>
      <c r="BU37">
        <f t="shared" si="11"/>
        <v>0</v>
      </c>
      <c r="BW37">
        <f t="shared" si="17"/>
        <v>0</v>
      </c>
      <c r="BX37">
        <f t="shared" si="17"/>
        <v>0</v>
      </c>
      <c r="BY37">
        <f t="shared" si="17"/>
        <v>0</v>
      </c>
      <c r="BZ37">
        <f t="shared" si="17"/>
        <v>0</v>
      </c>
      <c r="CA37">
        <f t="shared" si="17"/>
        <v>0</v>
      </c>
      <c r="CB37">
        <f t="shared" si="17"/>
        <v>0</v>
      </c>
      <c r="CC37">
        <f t="shared" si="17"/>
        <v>0</v>
      </c>
      <c r="CD37">
        <f t="shared" si="17"/>
        <v>0</v>
      </c>
      <c r="CE37">
        <f t="shared" si="17"/>
        <v>0</v>
      </c>
      <c r="CF37">
        <f t="shared" si="17"/>
        <v>0</v>
      </c>
      <c r="CG37">
        <f t="shared" si="17"/>
        <v>0</v>
      </c>
      <c r="CH37">
        <f t="shared" si="17"/>
        <v>0</v>
      </c>
      <c r="CI37">
        <f t="shared" si="17"/>
        <v>0</v>
      </c>
      <c r="CJ37">
        <f t="shared" si="17"/>
        <v>0</v>
      </c>
      <c r="CK37">
        <f t="shared" si="17"/>
        <v>0</v>
      </c>
      <c r="CL37">
        <f t="shared" si="17"/>
        <v>0</v>
      </c>
      <c r="CM37">
        <f t="shared" si="12"/>
        <v>1</v>
      </c>
      <c r="CO37">
        <f t="shared" si="18"/>
        <v>1</v>
      </c>
      <c r="CP37">
        <f t="shared" si="18"/>
        <v>1</v>
      </c>
      <c r="CQ37">
        <f t="shared" si="18"/>
        <v>0</v>
      </c>
      <c r="CR37">
        <f t="shared" si="18"/>
        <v>0</v>
      </c>
      <c r="CS37">
        <f t="shared" si="18"/>
        <v>0</v>
      </c>
      <c r="CT37">
        <f t="shared" si="18"/>
        <v>0</v>
      </c>
      <c r="CU37">
        <f t="shared" si="18"/>
        <v>1</v>
      </c>
      <c r="CV37">
        <f t="shared" si="18"/>
        <v>1</v>
      </c>
      <c r="CW37">
        <f t="shared" si="18"/>
        <v>1</v>
      </c>
      <c r="CX37">
        <f t="shared" si="18"/>
        <v>1</v>
      </c>
      <c r="CY37">
        <f t="shared" si="18"/>
        <v>0</v>
      </c>
      <c r="CZ37">
        <f t="shared" si="18"/>
        <v>1</v>
      </c>
      <c r="DA37">
        <f t="shared" si="18"/>
        <v>1</v>
      </c>
      <c r="DB37">
        <f t="shared" si="18"/>
        <v>1</v>
      </c>
      <c r="DC37">
        <f t="shared" si="18"/>
        <v>0</v>
      </c>
      <c r="DD37">
        <f t="shared" si="18"/>
        <v>0</v>
      </c>
      <c r="DE37">
        <f t="shared" si="13"/>
        <v>0</v>
      </c>
      <c r="DG37">
        <f t="shared" si="19"/>
        <v>0</v>
      </c>
      <c r="DH37">
        <f t="shared" si="19"/>
        <v>0</v>
      </c>
      <c r="DI37">
        <f t="shared" si="19"/>
        <v>1</v>
      </c>
      <c r="DJ37">
        <f t="shared" si="19"/>
        <v>1</v>
      </c>
      <c r="DK37">
        <f t="shared" si="19"/>
        <v>1</v>
      </c>
      <c r="DL37">
        <f t="shared" si="19"/>
        <v>1</v>
      </c>
      <c r="DM37">
        <f t="shared" si="19"/>
        <v>0</v>
      </c>
      <c r="DN37">
        <f t="shared" si="19"/>
        <v>0</v>
      </c>
      <c r="DO37">
        <f t="shared" si="19"/>
        <v>0</v>
      </c>
      <c r="DP37">
        <f t="shared" si="19"/>
        <v>0</v>
      </c>
      <c r="DQ37">
        <f t="shared" si="19"/>
        <v>1</v>
      </c>
      <c r="DR37">
        <f t="shared" si="19"/>
        <v>0</v>
      </c>
      <c r="DS37">
        <f t="shared" si="19"/>
        <v>0</v>
      </c>
      <c r="DT37">
        <f t="shared" si="19"/>
        <v>0</v>
      </c>
      <c r="DU37">
        <f t="shared" si="19"/>
        <v>1</v>
      </c>
      <c r="DV37">
        <f t="shared" si="19"/>
        <v>1</v>
      </c>
      <c r="DW37">
        <f t="shared" si="14"/>
        <v>0</v>
      </c>
    </row>
    <row r="38" spans="1:127" x14ac:dyDescent="0.2">
      <c r="A38" s="20" t="s">
        <v>161</v>
      </c>
      <c r="B38" s="20" t="s">
        <v>53</v>
      </c>
      <c r="C38" s="20" t="s">
        <v>53</v>
      </c>
      <c r="D38" s="20" t="s">
        <v>53</v>
      </c>
      <c r="E38" s="20" t="s">
        <v>53</v>
      </c>
      <c r="F38" s="20" t="s">
        <v>53</v>
      </c>
      <c r="G38" s="20" t="s">
        <v>53</v>
      </c>
      <c r="H38" s="20" t="s">
        <v>53</v>
      </c>
      <c r="I38" s="20" t="s">
        <v>53</v>
      </c>
      <c r="J38" s="21" t="s">
        <v>53</v>
      </c>
      <c r="K38" s="20" t="s">
        <v>53</v>
      </c>
      <c r="L38" s="20"/>
      <c r="M38" s="20"/>
      <c r="N38" s="20" t="s">
        <v>53</v>
      </c>
      <c r="O38" s="20" t="s">
        <v>53</v>
      </c>
      <c r="P38" s="20" t="s">
        <v>53</v>
      </c>
      <c r="Q38" s="20"/>
      <c r="R38" s="20" t="s">
        <v>53</v>
      </c>
      <c r="U38" s="20" t="s">
        <v>53</v>
      </c>
      <c r="V38" s="20" t="s">
        <v>53</v>
      </c>
      <c r="W38" s="20" t="s">
        <v>53</v>
      </c>
      <c r="X38" s="20" t="s">
        <v>53</v>
      </c>
      <c r="Y38" s="20" t="s">
        <v>53</v>
      </c>
      <c r="Z38" s="20" t="s">
        <v>53</v>
      </c>
      <c r="AA38" s="20" t="s">
        <v>53</v>
      </c>
      <c r="AB38" s="20" t="s">
        <v>53</v>
      </c>
      <c r="AC38" s="20" t="s">
        <v>53</v>
      </c>
      <c r="AD38" s="20" t="s">
        <v>53</v>
      </c>
      <c r="AE38" s="20"/>
      <c r="AF38" s="20"/>
      <c r="AG38" s="20" t="s">
        <v>53</v>
      </c>
      <c r="AH38" s="20" t="s">
        <v>53</v>
      </c>
      <c r="AI38" s="20" t="s">
        <v>53</v>
      </c>
      <c r="AJ38" s="20"/>
      <c r="AK38" s="20" t="s">
        <v>53</v>
      </c>
      <c r="AM38">
        <f t="shared" si="15"/>
        <v>1</v>
      </c>
      <c r="AN38">
        <f t="shared" si="15"/>
        <v>1</v>
      </c>
      <c r="AO38">
        <f t="shared" si="15"/>
        <v>1</v>
      </c>
      <c r="AP38">
        <f t="shared" si="15"/>
        <v>1</v>
      </c>
      <c r="AQ38">
        <f t="shared" si="15"/>
        <v>1</v>
      </c>
      <c r="AR38">
        <f t="shared" si="15"/>
        <v>1</v>
      </c>
      <c r="AS38">
        <f t="shared" si="15"/>
        <v>1</v>
      </c>
      <c r="AT38">
        <f t="shared" si="15"/>
        <v>1</v>
      </c>
      <c r="AU38">
        <f t="shared" si="15"/>
        <v>1</v>
      </c>
      <c r="AV38">
        <f t="shared" si="15"/>
        <v>1</v>
      </c>
      <c r="AW38">
        <f t="shared" si="15"/>
        <v>1</v>
      </c>
      <c r="AX38">
        <f t="shared" si="15"/>
        <v>1</v>
      </c>
      <c r="AY38">
        <f t="shared" si="15"/>
        <v>1</v>
      </c>
      <c r="AZ38">
        <f t="shared" si="15"/>
        <v>1</v>
      </c>
      <c r="BA38">
        <f t="shared" si="15"/>
        <v>1</v>
      </c>
      <c r="BB38">
        <f t="shared" si="15"/>
        <v>1</v>
      </c>
      <c r="BC38">
        <f t="shared" si="10"/>
        <v>1</v>
      </c>
      <c r="BE38">
        <f t="shared" si="16"/>
        <v>0</v>
      </c>
      <c r="BF38">
        <f t="shared" si="16"/>
        <v>0</v>
      </c>
      <c r="BG38">
        <f t="shared" si="16"/>
        <v>0</v>
      </c>
      <c r="BH38">
        <f t="shared" si="16"/>
        <v>0</v>
      </c>
      <c r="BI38">
        <f t="shared" si="16"/>
        <v>0</v>
      </c>
      <c r="BJ38">
        <f t="shared" si="16"/>
        <v>0</v>
      </c>
      <c r="BK38">
        <f t="shared" si="16"/>
        <v>0</v>
      </c>
      <c r="BL38">
        <f t="shared" si="16"/>
        <v>0</v>
      </c>
      <c r="BM38">
        <f t="shared" si="16"/>
        <v>0</v>
      </c>
      <c r="BN38">
        <f t="shared" si="16"/>
        <v>0</v>
      </c>
      <c r="BO38">
        <f t="shared" si="16"/>
        <v>0</v>
      </c>
      <c r="BP38">
        <f t="shared" si="16"/>
        <v>0</v>
      </c>
      <c r="BQ38">
        <f t="shared" si="16"/>
        <v>0</v>
      </c>
      <c r="BR38">
        <f t="shared" si="16"/>
        <v>0</v>
      </c>
      <c r="BS38">
        <f t="shared" si="16"/>
        <v>0</v>
      </c>
      <c r="BT38">
        <f t="shared" si="16"/>
        <v>0</v>
      </c>
      <c r="BU38">
        <f t="shared" si="11"/>
        <v>0</v>
      </c>
      <c r="BW38">
        <f t="shared" si="17"/>
        <v>0</v>
      </c>
      <c r="BX38">
        <f t="shared" si="17"/>
        <v>0</v>
      </c>
      <c r="BY38">
        <f t="shared" si="17"/>
        <v>0</v>
      </c>
      <c r="BZ38">
        <f t="shared" si="17"/>
        <v>0</v>
      </c>
      <c r="CA38">
        <f t="shared" si="17"/>
        <v>0</v>
      </c>
      <c r="CB38">
        <f t="shared" si="17"/>
        <v>0</v>
      </c>
      <c r="CC38">
        <f t="shared" si="17"/>
        <v>0</v>
      </c>
      <c r="CD38">
        <f t="shared" si="17"/>
        <v>0</v>
      </c>
      <c r="CE38">
        <f t="shared" si="17"/>
        <v>0</v>
      </c>
      <c r="CF38">
        <f t="shared" si="17"/>
        <v>0</v>
      </c>
      <c r="CG38">
        <f t="shared" si="17"/>
        <v>0</v>
      </c>
      <c r="CH38">
        <f t="shared" si="17"/>
        <v>0</v>
      </c>
      <c r="CI38">
        <f t="shared" si="17"/>
        <v>0</v>
      </c>
      <c r="CJ38">
        <f t="shared" si="17"/>
        <v>0</v>
      </c>
      <c r="CK38">
        <f t="shared" si="17"/>
        <v>0</v>
      </c>
      <c r="CL38">
        <f t="shared" si="17"/>
        <v>0</v>
      </c>
      <c r="CM38">
        <f t="shared" si="12"/>
        <v>0</v>
      </c>
      <c r="CO38">
        <f t="shared" si="18"/>
        <v>1</v>
      </c>
      <c r="CP38">
        <f t="shared" si="18"/>
        <v>1</v>
      </c>
      <c r="CQ38">
        <f t="shared" si="18"/>
        <v>1</v>
      </c>
      <c r="CR38">
        <f t="shared" si="18"/>
        <v>1</v>
      </c>
      <c r="CS38">
        <f t="shared" si="18"/>
        <v>1</v>
      </c>
      <c r="CT38">
        <f t="shared" si="18"/>
        <v>1</v>
      </c>
      <c r="CU38">
        <f t="shared" si="18"/>
        <v>1</v>
      </c>
      <c r="CV38">
        <f t="shared" si="18"/>
        <v>1</v>
      </c>
      <c r="CW38">
        <f t="shared" si="18"/>
        <v>1</v>
      </c>
      <c r="CX38">
        <f t="shared" si="18"/>
        <v>1</v>
      </c>
      <c r="CY38">
        <f t="shared" si="18"/>
        <v>0</v>
      </c>
      <c r="CZ38">
        <f t="shared" si="18"/>
        <v>0</v>
      </c>
      <c r="DA38">
        <f t="shared" si="18"/>
        <v>1</v>
      </c>
      <c r="DB38">
        <f t="shared" si="18"/>
        <v>1</v>
      </c>
      <c r="DC38">
        <f t="shared" si="18"/>
        <v>1</v>
      </c>
      <c r="DD38">
        <f t="shared" si="18"/>
        <v>0</v>
      </c>
      <c r="DE38">
        <f t="shared" si="13"/>
        <v>1</v>
      </c>
      <c r="DG38">
        <f t="shared" si="19"/>
        <v>0</v>
      </c>
      <c r="DH38">
        <f t="shared" si="19"/>
        <v>0</v>
      </c>
      <c r="DI38">
        <f t="shared" si="19"/>
        <v>0</v>
      </c>
      <c r="DJ38">
        <f t="shared" si="19"/>
        <v>0</v>
      </c>
      <c r="DK38">
        <f t="shared" si="19"/>
        <v>0</v>
      </c>
      <c r="DL38">
        <f t="shared" si="19"/>
        <v>0</v>
      </c>
      <c r="DM38">
        <f t="shared" si="19"/>
        <v>0</v>
      </c>
      <c r="DN38">
        <f t="shared" si="19"/>
        <v>0</v>
      </c>
      <c r="DO38">
        <f t="shared" si="19"/>
        <v>0</v>
      </c>
      <c r="DP38">
        <f t="shared" si="19"/>
        <v>0</v>
      </c>
      <c r="DQ38">
        <f t="shared" si="19"/>
        <v>1</v>
      </c>
      <c r="DR38">
        <f t="shared" si="19"/>
        <v>1</v>
      </c>
      <c r="DS38">
        <f t="shared" si="19"/>
        <v>0</v>
      </c>
      <c r="DT38">
        <f t="shared" si="19"/>
        <v>0</v>
      </c>
      <c r="DU38">
        <f t="shared" si="19"/>
        <v>0</v>
      </c>
      <c r="DV38">
        <f t="shared" si="19"/>
        <v>1</v>
      </c>
      <c r="DW38">
        <f t="shared" si="14"/>
        <v>0</v>
      </c>
    </row>
    <row r="39" spans="1:127" x14ac:dyDescent="0.2">
      <c r="BS39">
        <f t="shared" ref="BS39:BU39" si="20">SUM(BS3:BS38)</f>
        <v>0</v>
      </c>
      <c r="BT39">
        <f t="shared" si="20"/>
        <v>1</v>
      </c>
      <c r="BU39">
        <f t="shared" si="20"/>
        <v>0</v>
      </c>
    </row>
    <row r="42" spans="1:127" x14ac:dyDescent="0.2">
      <c r="AL42" t="s">
        <v>187</v>
      </c>
      <c r="AM42">
        <f>SUM(AM3:BC38)</f>
        <v>559</v>
      </c>
      <c r="BD42" t="s">
        <v>188</v>
      </c>
      <c r="BE42">
        <f>SUM(BE3:BU38)</f>
        <v>4</v>
      </c>
      <c r="BV42" t="s">
        <v>189</v>
      </c>
      <c r="BW42">
        <f>SUM(BW3:CM38)</f>
        <v>49</v>
      </c>
      <c r="CN42" t="s">
        <v>190</v>
      </c>
      <c r="CO42">
        <f>SUM(CO3:DE38)</f>
        <v>501</v>
      </c>
      <c r="DF42" t="s">
        <v>191</v>
      </c>
      <c r="DG42">
        <f>SUM(DG3:DW38)</f>
        <v>58</v>
      </c>
    </row>
    <row r="43" spans="1:127" x14ac:dyDescent="0.2">
      <c r="AL43" t="s">
        <v>120</v>
      </c>
      <c r="AM43">
        <f>36*17</f>
        <v>612</v>
      </c>
    </row>
    <row r="44" spans="1:127" x14ac:dyDescent="0.2">
      <c r="AL44" t="s">
        <v>192</v>
      </c>
      <c r="AM44">
        <f>AM42/AM43</f>
        <v>0.91339869281045749</v>
      </c>
    </row>
    <row r="47" spans="1:127" x14ac:dyDescent="0.2">
      <c r="AL47" t="s">
        <v>120</v>
      </c>
      <c r="AM47">
        <f>AM42+BE42+BW42</f>
        <v>612</v>
      </c>
    </row>
    <row r="51" spans="1:59" x14ac:dyDescent="0.2">
      <c r="BD51" t="s">
        <v>193</v>
      </c>
    </row>
    <row r="52" spans="1:59" x14ac:dyDescent="0.2">
      <c r="BD52" t="s">
        <v>163</v>
      </c>
    </row>
    <row r="53" spans="1:59" x14ac:dyDescent="0.2">
      <c r="A53" t="s">
        <v>194</v>
      </c>
      <c r="BD53" t="s">
        <v>53</v>
      </c>
      <c r="BE53" t="s">
        <v>195</v>
      </c>
    </row>
    <row r="54" spans="1:59" ht="19" x14ac:dyDescent="0.25">
      <c r="A54" s="22" t="s">
        <v>0</v>
      </c>
      <c r="B54" s="23">
        <v>1</v>
      </c>
      <c r="C54" s="23">
        <v>2</v>
      </c>
      <c r="D54" s="23">
        <v>3</v>
      </c>
      <c r="E54" s="23">
        <v>4</v>
      </c>
      <c r="F54" s="23">
        <v>5</v>
      </c>
      <c r="G54" s="23">
        <v>6</v>
      </c>
      <c r="H54" s="23">
        <v>7</v>
      </c>
      <c r="I54" s="23">
        <v>8</v>
      </c>
      <c r="J54" s="23">
        <v>9</v>
      </c>
      <c r="K54" s="23">
        <v>10</v>
      </c>
      <c r="L54" s="23">
        <v>11</v>
      </c>
      <c r="M54" s="23">
        <v>12</v>
      </c>
      <c r="N54" s="23">
        <v>13</v>
      </c>
      <c r="O54" s="23">
        <v>14</v>
      </c>
      <c r="P54" s="23">
        <v>15</v>
      </c>
      <c r="Q54" s="23">
        <v>16</v>
      </c>
      <c r="R54" s="23">
        <v>17</v>
      </c>
      <c r="BB54" t="s">
        <v>164</v>
      </c>
      <c r="BC54" t="s">
        <v>53</v>
      </c>
      <c r="BD54">
        <f>CO42</f>
        <v>501</v>
      </c>
      <c r="BE54">
        <f>BW42</f>
        <v>49</v>
      </c>
      <c r="BF54">
        <f>SUM(BD54:BE54)</f>
        <v>550</v>
      </c>
      <c r="BG54" t="s">
        <v>196</v>
      </c>
    </row>
    <row r="55" spans="1:59" x14ac:dyDescent="0.2">
      <c r="A55" s="20" t="s">
        <v>34</v>
      </c>
      <c r="B55" s="20" t="str">
        <f>IF(AND(B3="X",U3="X"),"X","")</f>
        <v>X</v>
      </c>
      <c r="C55" s="20" t="str">
        <f t="shared" ref="C55:R70" si="21">IF(AND(C3="X",V3="X"),"X","")</f>
        <v>X</v>
      </c>
      <c r="D55" s="20" t="str">
        <f t="shared" si="21"/>
        <v/>
      </c>
      <c r="E55" s="20" t="str">
        <f t="shared" si="21"/>
        <v>X</v>
      </c>
      <c r="F55" s="20" t="str">
        <f t="shared" si="21"/>
        <v>X</v>
      </c>
      <c r="G55" s="20" t="str">
        <f t="shared" si="21"/>
        <v>X</v>
      </c>
      <c r="H55" s="20" t="str">
        <f t="shared" si="21"/>
        <v>X</v>
      </c>
      <c r="I55" s="20" t="str">
        <f t="shared" si="21"/>
        <v>X</v>
      </c>
      <c r="J55" s="20" t="str">
        <f t="shared" si="21"/>
        <v>X</v>
      </c>
      <c r="K55" s="20" t="str">
        <f t="shared" si="21"/>
        <v>X</v>
      </c>
      <c r="L55" s="20" t="str">
        <f t="shared" si="21"/>
        <v>X</v>
      </c>
      <c r="M55" s="20" t="str">
        <f t="shared" si="21"/>
        <v>X</v>
      </c>
      <c r="N55" s="20" t="str">
        <f t="shared" si="21"/>
        <v>X</v>
      </c>
      <c r="O55" s="20" t="str">
        <f t="shared" si="21"/>
        <v>X</v>
      </c>
      <c r="P55" s="20" t="str">
        <f t="shared" si="21"/>
        <v>X</v>
      </c>
      <c r="Q55" s="20" t="str">
        <f t="shared" si="21"/>
        <v>X</v>
      </c>
      <c r="R55" s="20" t="str">
        <f t="shared" si="21"/>
        <v>X</v>
      </c>
      <c r="BC55" t="s">
        <v>195</v>
      </c>
      <c r="BD55">
        <f>BE42</f>
        <v>4</v>
      </c>
      <c r="BE55">
        <f>DG42</f>
        <v>58</v>
      </c>
      <c r="BF55">
        <f>SUM(BD55:BE55)</f>
        <v>62</v>
      </c>
      <c r="BG55" t="s">
        <v>197</v>
      </c>
    </row>
    <row r="56" spans="1:59" x14ac:dyDescent="0.2">
      <c r="A56" s="20" t="s">
        <v>35</v>
      </c>
      <c r="B56" s="20" t="str">
        <f t="shared" ref="B56:Q71" si="22">IF(AND(B4="X",U4="X"),"X","")</f>
        <v>X</v>
      </c>
      <c r="C56" s="20" t="str">
        <f t="shared" si="21"/>
        <v>X</v>
      </c>
      <c r="D56" s="20" t="str">
        <f t="shared" si="21"/>
        <v>X</v>
      </c>
      <c r="E56" s="20" t="str">
        <f t="shared" si="21"/>
        <v>X</v>
      </c>
      <c r="F56" s="20" t="str">
        <f t="shared" si="21"/>
        <v>X</v>
      </c>
      <c r="G56" s="20" t="str">
        <f t="shared" si="21"/>
        <v>X</v>
      </c>
      <c r="H56" s="20" t="str">
        <f t="shared" si="21"/>
        <v>X</v>
      </c>
      <c r="I56" s="20" t="str">
        <f t="shared" si="21"/>
        <v>X</v>
      </c>
      <c r="J56" s="20" t="str">
        <f t="shared" si="21"/>
        <v>X</v>
      </c>
      <c r="K56" s="20" t="str">
        <f t="shared" si="21"/>
        <v>X</v>
      </c>
      <c r="L56" s="20" t="str">
        <f t="shared" si="21"/>
        <v>X</v>
      </c>
      <c r="M56" s="20" t="str">
        <f t="shared" si="21"/>
        <v>X</v>
      </c>
      <c r="N56" s="20" t="str">
        <f t="shared" si="21"/>
        <v>X</v>
      </c>
      <c r="O56" s="20" t="str">
        <f t="shared" si="21"/>
        <v>X</v>
      </c>
      <c r="P56" s="20" t="str">
        <f t="shared" si="21"/>
        <v/>
      </c>
      <c r="Q56" s="20" t="str">
        <f t="shared" si="21"/>
        <v>X</v>
      </c>
      <c r="R56" s="20" t="str">
        <f t="shared" si="21"/>
        <v>X</v>
      </c>
      <c r="BD56">
        <f>SUM(BD54:BD55)</f>
        <v>505</v>
      </c>
      <c r="BE56">
        <f>SUM(BE54:BE55)</f>
        <v>107</v>
      </c>
      <c r="BF56">
        <f>SUM(BD54:BE55)</f>
        <v>612</v>
      </c>
    </row>
    <row r="57" spans="1:59" x14ac:dyDescent="0.2">
      <c r="A57" s="20" t="s">
        <v>36</v>
      </c>
      <c r="B57" s="20" t="str">
        <f t="shared" si="22"/>
        <v>X</v>
      </c>
      <c r="C57" s="20" t="str">
        <f t="shared" si="21"/>
        <v>X</v>
      </c>
      <c r="D57" s="20" t="str">
        <f t="shared" si="21"/>
        <v>X</v>
      </c>
      <c r="E57" s="20" t="str">
        <f t="shared" si="21"/>
        <v>X</v>
      </c>
      <c r="F57" s="20" t="str">
        <f t="shared" si="21"/>
        <v>X</v>
      </c>
      <c r="G57" s="20" t="str">
        <f t="shared" si="21"/>
        <v>X</v>
      </c>
      <c r="H57" s="20" t="str">
        <f t="shared" si="21"/>
        <v>X</v>
      </c>
      <c r="I57" s="20" t="str">
        <f t="shared" si="21"/>
        <v>X</v>
      </c>
      <c r="J57" s="20" t="str">
        <f t="shared" si="21"/>
        <v>X</v>
      </c>
      <c r="K57" s="20" t="str">
        <f t="shared" si="21"/>
        <v>X</v>
      </c>
      <c r="L57" s="20" t="str">
        <f t="shared" si="21"/>
        <v>X</v>
      </c>
      <c r="M57" s="20" t="str">
        <f t="shared" si="21"/>
        <v/>
      </c>
      <c r="N57" s="20" t="str">
        <f t="shared" si="21"/>
        <v>X</v>
      </c>
      <c r="O57" s="20" t="str">
        <f t="shared" si="21"/>
        <v>X</v>
      </c>
      <c r="P57" s="20" t="str">
        <f t="shared" si="21"/>
        <v>X</v>
      </c>
      <c r="Q57" s="20" t="str">
        <f t="shared" si="21"/>
        <v/>
      </c>
      <c r="R57" s="20" t="str">
        <f t="shared" si="21"/>
        <v>X</v>
      </c>
      <c r="BD57" t="s">
        <v>198</v>
      </c>
      <c r="BE57" t="s">
        <v>199</v>
      </c>
    </row>
    <row r="58" spans="1:59" x14ac:dyDescent="0.2">
      <c r="A58" s="20" t="s">
        <v>37</v>
      </c>
      <c r="B58" s="20" t="str">
        <f t="shared" si="22"/>
        <v>X</v>
      </c>
      <c r="C58" s="20" t="str">
        <f t="shared" si="21"/>
        <v>X</v>
      </c>
      <c r="D58" s="20" t="str">
        <f t="shared" si="21"/>
        <v>X</v>
      </c>
      <c r="E58" s="20" t="str">
        <f t="shared" si="21"/>
        <v>X</v>
      </c>
      <c r="F58" s="20" t="str">
        <f t="shared" si="21"/>
        <v>X</v>
      </c>
      <c r="G58" s="20" t="str">
        <f t="shared" si="21"/>
        <v>X</v>
      </c>
      <c r="H58" s="20" t="str">
        <f t="shared" si="21"/>
        <v>X</v>
      </c>
      <c r="I58" s="20" t="str">
        <f t="shared" si="21"/>
        <v/>
      </c>
      <c r="J58" s="20" t="str">
        <f t="shared" si="21"/>
        <v>X</v>
      </c>
      <c r="K58" s="20" t="str">
        <f t="shared" si="21"/>
        <v>X</v>
      </c>
      <c r="L58" s="20" t="str">
        <f t="shared" si="21"/>
        <v/>
      </c>
      <c r="M58" s="20" t="str">
        <f t="shared" si="21"/>
        <v>X</v>
      </c>
      <c r="N58" s="20" t="str">
        <f t="shared" si="21"/>
        <v>X</v>
      </c>
      <c r="O58" s="20" t="str">
        <f t="shared" si="21"/>
        <v>X</v>
      </c>
      <c r="P58" s="20" t="str">
        <f t="shared" si="21"/>
        <v>X</v>
      </c>
      <c r="Q58" s="20" t="str">
        <f t="shared" si="21"/>
        <v>X</v>
      </c>
      <c r="R58" s="20" t="str">
        <f t="shared" si="21"/>
        <v>X</v>
      </c>
    </row>
    <row r="59" spans="1:59" x14ac:dyDescent="0.2">
      <c r="A59" s="20" t="s">
        <v>38</v>
      </c>
      <c r="B59" s="20" t="str">
        <f t="shared" si="22"/>
        <v>X</v>
      </c>
      <c r="C59" s="20" t="str">
        <f t="shared" si="21"/>
        <v>X</v>
      </c>
      <c r="D59" s="20" t="str">
        <f t="shared" si="21"/>
        <v>X</v>
      </c>
      <c r="E59" s="20" t="str">
        <f t="shared" si="21"/>
        <v>X</v>
      </c>
      <c r="F59" s="20" t="str">
        <f t="shared" si="21"/>
        <v>X</v>
      </c>
      <c r="G59" s="20" t="str">
        <f t="shared" si="21"/>
        <v>X</v>
      </c>
      <c r="H59" s="20" t="str">
        <f t="shared" si="21"/>
        <v>X</v>
      </c>
      <c r="I59" s="20" t="str">
        <f t="shared" si="21"/>
        <v>X</v>
      </c>
      <c r="J59" s="20" t="str">
        <f t="shared" si="21"/>
        <v>X</v>
      </c>
      <c r="K59" s="20" t="str">
        <f t="shared" si="21"/>
        <v>X</v>
      </c>
      <c r="L59" s="20" t="str">
        <f t="shared" si="21"/>
        <v/>
      </c>
      <c r="M59" s="20" t="str">
        <f t="shared" si="21"/>
        <v>X</v>
      </c>
      <c r="N59" s="20" t="str">
        <f t="shared" si="21"/>
        <v>X</v>
      </c>
      <c r="O59" s="20" t="str">
        <f t="shared" si="21"/>
        <v>X</v>
      </c>
      <c r="P59" s="20" t="str">
        <f t="shared" si="21"/>
        <v>X</v>
      </c>
      <c r="Q59" s="20" t="str">
        <f t="shared" si="21"/>
        <v/>
      </c>
      <c r="R59" s="20" t="str">
        <f t="shared" si="21"/>
        <v>X</v>
      </c>
    </row>
    <row r="60" spans="1:59" x14ac:dyDescent="0.2">
      <c r="A60" s="20" t="s">
        <v>39</v>
      </c>
      <c r="B60" s="20" t="str">
        <f t="shared" si="22"/>
        <v>X</v>
      </c>
      <c r="C60" s="20" t="str">
        <f t="shared" si="21"/>
        <v>X</v>
      </c>
      <c r="D60" s="20" t="str">
        <f t="shared" si="21"/>
        <v>X</v>
      </c>
      <c r="E60" s="20" t="str">
        <f t="shared" si="21"/>
        <v>X</v>
      </c>
      <c r="F60" s="20" t="str">
        <f t="shared" si="21"/>
        <v>X</v>
      </c>
      <c r="G60" s="20" t="str">
        <f t="shared" si="21"/>
        <v>X</v>
      </c>
      <c r="H60" s="20" t="str">
        <f t="shared" si="21"/>
        <v>X</v>
      </c>
      <c r="I60" s="20" t="str">
        <f t="shared" si="21"/>
        <v>X</v>
      </c>
      <c r="J60" s="20" t="str">
        <f t="shared" si="21"/>
        <v>X</v>
      </c>
      <c r="K60" s="20" t="str">
        <f t="shared" si="21"/>
        <v>X</v>
      </c>
      <c r="L60" s="20" t="str">
        <f t="shared" si="21"/>
        <v>X</v>
      </c>
      <c r="M60" s="20" t="str">
        <f t="shared" si="21"/>
        <v/>
      </c>
      <c r="N60" s="20" t="str">
        <f t="shared" si="21"/>
        <v>X</v>
      </c>
      <c r="O60" s="20" t="str">
        <f t="shared" si="21"/>
        <v>X</v>
      </c>
      <c r="P60" s="20" t="str">
        <f t="shared" si="21"/>
        <v>X</v>
      </c>
      <c r="Q60" s="20" t="str">
        <f t="shared" si="21"/>
        <v/>
      </c>
      <c r="R60" s="20" t="str">
        <f t="shared" si="21"/>
        <v>X</v>
      </c>
      <c r="BC60" t="s">
        <v>200</v>
      </c>
      <c r="BD60">
        <f>((BD56*BF54/BF56)+(BE56*BF55/BF56))/BF56</f>
        <v>0.75928061856550899</v>
      </c>
    </row>
    <row r="61" spans="1:59" x14ac:dyDescent="0.2">
      <c r="A61" s="20" t="s">
        <v>40</v>
      </c>
      <c r="B61" s="20" t="str">
        <f t="shared" si="22"/>
        <v>X</v>
      </c>
      <c r="C61" s="20" t="str">
        <f t="shared" si="21"/>
        <v>X</v>
      </c>
      <c r="D61" s="20" t="str">
        <f t="shared" si="21"/>
        <v>X</v>
      </c>
      <c r="E61" s="20" t="str">
        <f t="shared" si="21"/>
        <v/>
      </c>
      <c r="F61" s="20" t="str">
        <f t="shared" si="21"/>
        <v/>
      </c>
      <c r="G61" s="20" t="str">
        <f t="shared" si="21"/>
        <v/>
      </c>
      <c r="H61" s="20" t="str">
        <f t="shared" si="21"/>
        <v>X</v>
      </c>
      <c r="I61" s="20" t="str">
        <f t="shared" si="21"/>
        <v>X</v>
      </c>
      <c r="J61" s="20" t="str">
        <f t="shared" si="21"/>
        <v>X</v>
      </c>
      <c r="K61" s="20" t="str">
        <f t="shared" si="21"/>
        <v>X</v>
      </c>
      <c r="L61" s="20" t="str">
        <f t="shared" si="21"/>
        <v/>
      </c>
      <c r="M61" s="20" t="str">
        <f t="shared" si="21"/>
        <v>X</v>
      </c>
      <c r="N61" s="20" t="str">
        <f t="shared" si="21"/>
        <v>X</v>
      </c>
      <c r="O61" s="20" t="str">
        <f t="shared" si="21"/>
        <v>X</v>
      </c>
      <c r="P61" s="20" t="str">
        <f t="shared" si="21"/>
        <v>X</v>
      </c>
      <c r="Q61" s="20" t="str">
        <f t="shared" si="21"/>
        <v>X</v>
      </c>
      <c r="R61" s="20" t="str">
        <f t="shared" si="21"/>
        <v>X</v>
      </c>
      <c r="BC61" t="s">
        <v>201</v>
      </c>
      <c r="BD61">
        <f>(BD54+BE55)/BF56</f>
        <v>0.91339869281045749</v>
      </c>
    </row>
    <row r="62" spans="1:59" x14ac:dyDescent="0.2">
      <c r="A62" s="20" t="s">
        <v>41</v>
      </c>
      <c r="B62" s="20" t="str">
        <f t="shared" si="22"/>
        <v>X</v>
      </c>
      <c r="C62" s="20" t="str">
        <f t="shared" si="21"/>
        <v>X</v>
      </c>
      <c r="D62" s="20" t="str">
        <f t="shared" si="21"/>
        <v>X</v>
      </c>
      <c r="E62" s="20" t="str">
        <f t="shared" si="21"/>
        <v>X</v>
      </c>
      <c r="F62" s="20" t="str">
        <f t="shared" si="21"/>
        <v>X</v>
      </c>
      <c r="G62" s="20" t="str">
        <f t="shared" si="21"/>
        <v/>
      </c>
      <c r="H62" s="20" t="str">
        <f t="shared" si="21"/>
        <v>X</v>
      </c>
      <c r="I62" s="20" t="str">
        <f t="shared" si="21"/>
        <v>X</v>
      </c>
      <c r="J62" s="20" t="str">
        <f t="shared" si="21"/>
        <v>X</v>
      </c>
      <c r="K62" s="20" t="str">
        <f t="shared" si="21"/>
        <v>X</v>
      </c>
      <c r="L62" s="20" t="str">
        <f t="shared" si="21"/>
        <v>X</v>
      </c>
      <c r="M62" s="20" t="str">
        <f t="shared" si="21"/>
        <v>X</v>
      </c>
      <c r="N62" s="20" t="str">
        <f t="shared" si="21"/>
        <v>X</v>
      </c>
      <c r="O62" s="20" t="str">
        <f t="shared" si="21"/>
        <v>X</v>
      </c>
      <c r="P62" s="20" t="str">
        <f t="shared" si="21"/>
        <v>X</v>
      </c>
      <c r="Q62" s="20" t="str">
        <f t="shared" si="21"/>
        <v/>
      </c>
      <c r="R62" s="20" t="str">
        <f t="shared" si="21"/>
        <v>X</v>
      </c>
    </row>
    <row r="63" spans="1:59" x14ac:dyDescent="0.2">
      <c r="A63" s="20" t="s">
        <v>107</v>
      </c>
      <c r="B63" s="20" t="str">
        <f t="shared" si="22"/>
        <v>X</v>
      </c>
      <c r="C63" s="20" t="str">
        <f t="shared" si="21"/>
        <v>X</v>
      </c>
      <c r="D63" s="20" t="str">
        <f t="shared" si="21"/>
        <v>X</v>
      </c>
      <c r="E63" s="20" t="str">
        <f t="shared" si="21"/>
        <v>X</v>
      </c>
      <c r="F63" s="20" t="str">
        <f t="shared" si="21"/>
        <v>X</v>
      </c>
      <c r="G63" s="20" t="str">
        <f t="shared" si="21"/>
        <v>X</v>
      </c>
      <c r="H63" s="20" t="str">
        <f t="shared" si="21"/>
        <v>X</v>
      </c>
      <c r="I63" s="20" t="str">
        <f t="shared" si="21"/>
        <v/>
      </c>
      <c r="J63" s="20" t="str">
        <f t="shared" si="21"/>
        <v>X</v>
      </c>
      <c r="K63" s="20" t="str">
        <f t="shared" si="21"/>
        <v>X</v>
      </c>
      <c r="L63" s="20" t="str">
        <f t="shared" si="21"/>
        <v/>
      </c>
      <c r="M63" s="20" t="str">
        <f t="shared" si="21"/>
        <v>X</v>
      </c>
      <c r="N63" s="20" t="str">
        <f t="shared" si="21"/>
        <v>X</v>
      </c>
      <c r="O63" s="20" t="str">
        <f t="shared" si="21"/>
        <v/>
      </c>
      <c r="P63" s="20" t="str">
        <f t="shared" si="21"/>
        <v>X</v>
      </c>
      <c r="Q63" s="20" t="str">
        <f t="shared" si="21"/>
        <v>X</v>
      </c>
      <c r="R63" s="20" t="str">
        <f t="shared" si="21"/>
        <v>X</v>
      </c>
      <c r="BC63" t="s">
        <v>202</v>
      </c>
      <c r="BD63">
        <f>(BD61-BD60)/(1-BD60)</f>
        <v>0.64023957409050569</v>
      </c>
    </row>
    <row r="64" spans="1:59" x14ac:dyDescent="0.2">
      <c r="A64" s="20" t="s">
        <v>44</v>
      </c>
      <c r="B64" s="20" t="str">
        <f t="shared" si="22"/>
        <v>X</v>
      </c>
      <c r="C64" s="20" t="str">
        <f t="shared" si="21"/>
        <v>X</v>
      </c>
      <c r="D64" s="20" t="str">
        <f t="shared" si="21"/>
        <v>X</v>
      </c>
      <c r="E64" s="20" t="str">
        <f t="shared" si="21"/>
        <v>X</v>
      </c>
      <c r="F64" s="20" t="str">
        <f t="shared" si="21"/>
        <v>X</v>
      </c>
      <c r="G64" s="20" t="str">
        <f t="shared" si="21"/>
        <v>X</v>
      </c>
      <c r="H64" s="20" t="str">
        <f t="shared" si="21"/>
        <v>X</v>
      </c>
      <c r="I64" s="20" t="str">
        <f t="shared" si="21"/>
        <v>X</v>
      </c>
      <c r="J64" s="20" t="str">
        <f t="shared" si="21"/>
        <v>X</v>
      </c>
      <c r="K64" s="20" t="str">
        <f t="shared" si="21"/>
        <v>X</v>
      </c>
      <c r="L64" s="20" t="str">
        <f t="shared" si="21"/>
        <v>X</v>
      </c>
      <c r="M64" s="20" t="str">
        <f t="shared" si="21"/>
        <v>X</v>
      </c>
      <c r="N64" s="20" t="str">
        <f t="shared" si="21"/>
        <v>X</v>
      </c>
      <c r="O64" s="20" t="str">
        <f t="shared" si="21"/>
        <v>X</v>
      </c>
      <c r="P64" s="20" t="str">
        <f t="shared" si="21"/>
        <v>X</v>
      </c>
      <c r="Q64" s="20" t="str">
        <f t="shared" si="21"/>
        <v>X</v>
      </c>
      <c r="R64" s="20" t="str">
        <f t="shared" si="21"/>
        <v>X</v>
      </c>
    </row>
    <row r="65" spans="1:18" x14ac:dyDescent="0.2">
      <c r="A65" s="20" t="s">
        <v>46</v>
      </c>
      <c r="B65" s="20" t="str">
        <f t="shared" si="22"/>
        <v>X</v>
      </c>
      <c r="C65" s="20" t="str">
        <f t="shared" si="21"/>
        <v>X</v>
      </c>
      <c r="D65" s="20" t="str">
        <f t="shared" si="21"/>
        <v>X</v>
      </c>
      <c r="E65" s="20" t="str">
        <f t="shared" si="21"/>
        <v>X</v>
      </c>
      <c r="F65" s="20" t="str">
        <f t="shared" si="21"/>
        <v>X</v>
      </c>
      <c r="G65" s="20" t="str">
        <f t="shared" si="21"/>
        <v>X</v>
      </c>
      <c r="H65" s="20" t="str">
        <f t="shared" si="21"/>
        <v>X</v>
      </c>
      <c r="I65" s="20" t="str">
        <f t="shared" si="21"/>
        <v>X</v>
      </c>
      <c r="J65" s="20" t="str">
        <f t="shared" si="21"/>
        <v>X</v>
      </c>
      <c r="K65" s="20" t="str">
        <f t="shared" si="21"/>
        <v>X</v>
      </c>
      <c r="L65" s="20" t="str">
        <f t="shared" si="21"/>
        <v>X</v>
      </c>
      <c r="M65" s="20" t="str">
        <f t="shared" si="21"/>
        <v>X</v>
      </c>
      <c r="N65" s="20" t="str">
        <f t="shared" si="21"/>
        <v>X</v>
      </c>
      <c r="O65" s="20" t="str">
        <f t="shared" si="21"/>
        <v/>
      </c>
      <c r="P65" s="20" t="str">
        <f t="shared" si="21"/>
        <v>X</v>
      </c>
      <c r="Q65" s="20" t="str">
        <f t="shared" si="21"/>
        <v>X</v>
      </c>
      <c r="R65" s="20" t="str">
        <f t="shared" si="21"/>
        <v>X</v>
      </c>
    </row>
    <row r="66" spans="1:18" x14ac:dyDescent="0.2">
      <c r="A66" s="20" t="s">
        <v>48</v>
      </c>
      <c r="B66" s="20" t="str">
        <f t="shared" si="22"/>
        <v>X</v>
      </c>
      <c r="C66" s="20" t="str">
        <f t="shared" si="21"/>
        <v>X</v>
      </c>
      <c r="D66" s="20" t="str">
        <f t="shared" si="21"/>
        <v>X</v>
      </c>
      <c r="E66" s="20" t="str">
        <f t="shared" si="21"/>
        <v>X</v>
      </c>
      <c r="F66" s="20" t="str">
        <f t="shared" si="21"/>
        <v>X</v>
      </c>
      <c r="G66" s="20" t="str">
        <f t="shared" si="21"/>
        <v>X</v>
      </c>
      <c r="H66" s="20" t="str">
        <f t="shared" si="21"/>
        <v>X</v>
      </c>
      <c r="I66" s="20" t="str">
        <f t="shared" si="21"/>
        <v>X</v>
      </c>
      <c r="J66" s="20" t="str">
        <f t="shared" si="21"/>
        <v>X</v>
      </c>
      <c r="K66" s="20" t="str">
        <f t="shared" si="21"/>
        <v>X</v>
      </c>
      <c r="L66" s="20" t="str">
        <f t="shared" si="21"/>
        <v>X</v>
      </c>
      <c r="M66" s="20" t="str">
        <f t="shared" si="21"/>
        <v>X</v>
      </c>
      <c r="N66" s="20" t="str">
        <f t="shared" si="21"/>
        <v>X</v>
      </c>
      <c r="O66" s="20" t="str">
        <f t="shared" si="21"/>
        <v>X</v>
      </c>
      <c r="P66" s="20" t="str">
        <f t="shared" si="21"/>
        <v>X</v>
      </c>
      <c r="Q66" s="20" t="str">
        <f t="shared" si="21"/>
        <v>X</v>
      </c>
      <c r="R66" s="20" t="str">
        <f t="shared" si="21"/>
        <v/>
      </c>
    </row>
    <row r="67" spans="1:18" x14ac:dyDescent="0.2">
      <c r="A67" s="20" t="s">
        <v>51</v>
      </c>
      <c r="B67" s="20" t="str">
        <f t="shared" si="22"/>
        <v>X</v>
      </c>
      <c r="C67" s="20" t="str">
        <f t="shared" si="21"/>
        <v>X</v>
      </c>
      <c r="D67" s="20" t="str">
        <f t="shared" si="21"/>
        <v>X</v>
      </c>
      <c r="E67" s="20" t="str">
        <f t="shared" si="21"/>
        <v/>
      </c>
      <c r="F67" s="20" t="str">
        <f t="shared" si="21"/>
        <v/>
      </c>
      <c r="G67" s="20" t="str">
        <f t="shared" si="21"/>
        <v>X</v>
      </c>
      <c r="H67" s="20" t="str">
        <f t="shared" si="21"/>
        <v>X</v>
      </c>
      <c r="I67" s="20" t="str">
        <f t="shared" si="21"/>
        <v>X</v>
      </c>
      <c r="J67" s="20" t="str">
        <f t="shared" si="21"/>
        <v>X</v>
      </c>
      <c r="K67" s="20" t="str">
        <f t="shared" si="21"/>
        <v>X</v>
      </c>
      <c r="L67" s="20" t="str">
        <f t="shared" si="21"/>
        <v>X</v>
      </c>
      <c r="M67" s="20" t="str">
        <f t="shared" si="21"/>
        <v>X</v>
      </c>
      <c r="N67" s="20" t="str">
        <f t="shared" si="21"/>
        <v>X</v>
      </c>
      <c r="O67" s="20" t="str">
        <f t="shared" si="21"/>
        <v>X</v>
      </c>
      <c r="P67" s="20" t="str">
        <f t="shared" si="21"/>
        <v>X</v>
      </c>
      <c r="Q67" s="20" t="str">
        <f t="shared" si="21"/>
        <v/>
      </c>
      <c r="R67" s="20" t="str">
        <f t="shared" si="21"/>
        <v>X</v>
      </c>
    </row>
    <row r="68" spans="1:18" x14ac:dyDescent="0.2">
      <c r="A68" s="20" t="s">
        <v>52</v>
      </c>
      <c r="B68" s="20" t="str">
        <f t="shared" si="22"/>
        <v>X</v>
      </c>
      <c r="C68" s="20" t="str">
        <f t="shared" si="21"/>
        <v/>
      </c>
      <c r="D68" s="20" t="str">
        <f t="shared" si="21"/>
        <v/>
      </c>
      <c r="E68" s="20" t="str">
        <f t="shared" si="21"/>
        <v/>
      </c>
      <c r="F68" s="20" t="str">
        <f t="shared" si="21"/>
        <v/>
      </c>
      <c r="G68" s="20" t="str">
        <f t="shared" si="21"/>
        <v/>
      </c>
      <c r="H68" s="20" t="str">
        <f t="shared" si="21"/>
        <v>X</v>
      </c>
      <c r="I68" s="20" t="str">
        <f t="shared" si="21"/>
        <v>X</v>
      </c>
      <c r="J68" s="20" t="str">
        <f t="shared" si="21"/>
        <v>X</v>
      </c>
      <c r="K68" s="20" t="str">
        <f t="shared" si="21"/>
        <v>X</v>
      </c>
      <c r="L68" s="20" t="str">
        <f t="shared" si="21"/>
        <v>X</v>
      </c>
      <c r="M68" s="20" t="str">
        <f t="shared" si="21"/>
        <v>X</v>
      </c>
      <c r="N68" s="20" t="str">
        <f t="shared" si="21"/>
        <v>X</v>
      </c>
      <c r="O68" s="20" t="str">
        <f t="shared" si="21"/>
        <v/>
      </c>
      <c r="P68" s="20" t="str">
        <f t="shared" si="21"/>
        <v>X</v>
      </c>
      <c r="Q68" s="20" t="str">
        <f t="shared" si="21"/>
        <v/>
      </c>
      <c r="R68" s="20" t="str">
        <f t="shared" si="21"/>
        <v>X</v>
      </c>
    </row>
    <row r="69" spans="1:18" x14ac:dyDescent="0.2">
      <c r="A69" s="20" t="s">
        <v>61</v>
      </c>
      <c r="B69" s="20" t="str">
        <f t="shared" si="22"/>
        <v>X</v>
      </c>
      <c r="C69" s="20" t="str">
        <f t="shared" si="21"/>
        <v/>
      </c>
      <c r="D69" s="20" t="str">
        <f t="shared" si="21"/>
        <v>X</v>
      </c>
      <c r="E69" s="20" t="str">
        <f t="shared" si="21"/>
        <v>X</v>
      </c>
      <c r="F69" s="20" t="str">
        <f t="shared" si="21"/>
        <v>X</v>
      </c>
      <c r="G69" s="20" t="str">
        <f t="shared" si="21"/>
        <v>X</v>
      </c>
      <c r="H69" s="20" t="str">
        <f t="shared" si="21"/>
        <v>X</v>
      </c>
      <c r="I69" s="20" t="str">
        <f t="shared" si="21"/>
        <v>X</v>
      </c>
      <c r="J69" s="20" t="str">
        <f t="shared" si="21"/>
        <v>X</v>
      </c>
      <c r="K69" s="20" t="str">
        <f t="shared" si="21"/>
        <v>X</v>
      </c>
      <c r="L69" s="20" t="str">
        <f t="shared" si="21"/>
        <v/>
      </c>
      <c r="M69" s="20" t="str">
        <f t="shared" si="21"/>
        <v>X</v>
      </c>
      <c r="N69" s="20" t="str">
        <f t="shared" si="21"/>
        <v>X</v>
      </c>
      <c r="O69" s="20" t="str">
        <f t="shared" si="21"/>
        <v>X</v>
      </c>
      <c r="P69" s="20" t="str">
        <f t="shared" si="21"/>
        <v>X</v>
      </c>
      <c r="Q69" s="20" t="str">
        <f t="shared" si="21"/>
        <v>X</v>
      </c>
      <c r="R69" s="20" t="str">
        <f t="shared" si="21"/>
        <v/>
      </c>
    </row>
    <row r="70" spans="1:18" x14ac:dyDescent="0.2">
      <c r="A70" s="20" t="s">
        <v>108</v>
      </c>
      <c r="B70" s="20" t="str">
        <f t="shared" si="22"/>
        <v>X</v>
      </c>
      <c r="C70" s="20" t="str">
        <f t="shared" si="21"/>
        <v/>
      </c>
      <c r="D70" s="20" t="str">
        <f t="shared" si="21"/>
        <v>X</v>
      </c>
      <c r="E70" s="20" t="str">
        <f t="shared" si="21"/>
        <v/>
      </c>
      <c r="F70" s="20" t="str">
        <f t="shared" si="21"/>
        <v/>
      </c>
      <c r="G70" s="20" t="str">
        <f t="shared" si="21"/>
        <v>X</v>
      </c>
      <c r="H70" s="20" t="str">
        <f t="shared" si="21"/>
        <v>X</v>
      </c>
      <c r="I70" s="20" t="str">
        <f t="shared" si="21"/>
        <v>X</v>
      </c>
      <c r="J70" s="20" t="str">
        <f t="shared" si="21"/>
        <v>X</v>
      </c>
      <c r="K70" s="20" t="str">
        <f t="shared" si="21"/>
        <v>X</v>
      </c>
      <c r="L70" s="20" t="str">
        <f t="shared" si="21"/>
        <v/>
      </c>
      <c r="M70" s="20" t="str">
        <f t="shared" si="21"/>
        <v>X</v>
      </c>
      <c r="N70" s="20" t="str">
        <f t="shared" si="21"/>
        <v>X</v>
      </c>
      <c r="O70" s="20" t="str">
        <f t="shared" si="21"/>
        <v>X</v>
      </c>
      <c r="P70" s="20" t="str">
        <f t="shared" si="21"/>
        <v>X</v>
      </c>
      <c r="Q70" s="20" t="str">
        <f t="shared" si="21"/>
        <v>X</v>
      </c>
      <c r="R70" s="20" t="str">
        <f t="shared" ref="R70:R90" si="23">IF(AND(R18="X",AK18="X"),"X","")</f>
        <v/>
      </c>
    </row>
    <row r="71" spans="1:18" x14ac:dyDescent="0.2">
      <c r="A71" s="20" t="s">
        <v>45</v>
      </c>
      <c r="B71" s="20" t="str">
        <f t="shared" si="22"/>
        <v>X</v>
      </c>
      <c r="C71" s="20" t="str">
        <f t="shared" si="22"/>
        <v>X</v>
      </c>
      <c r="D71" s="20" t="str">
        <f t="shared" si="22"/>
        <v>X</v>
      </c>
      <c r="E71" s="20" t="str">
        <f t="shared" si="22"/>
        <v>X</v>
      </c>
      <c r="F71" s="20" t="str">
        <f t="shared" si="22"/>
        <v>X</v>
      </c>
      <c r="G71" s="20" t="str">
        <f t="shared" si="22"/>
        <v>X</v>
      </c>
      <c r="H71" s="20" t="str">
        <f t="shared" si="22"/>
        <v>X</v>
      </c>
      <c r="I71" s="20" t="str">
        <f t="shared" si="22"/>
        <v>X</v>
      </c>
      <c r="J71" s="20" t="str">
        <f t="shared" si="22"/>
        <v>X</v>
      </c>
      <c r="K71" s="20" t="str">
        <f t="shared" si="22"/>
        <v>X</v>
      </c>
      <c r="L71" s="20" t="str">
        <f t="shared" si="22"/>
        <v/>
      </c>
      <c r="M71" s="20" t="str">
        <f t="shared" si="22"/>
        <v>X</v>
      </c>
      <c r="N71" s="20" t="str">
        <f t="shared" si="22"/>
        <v/>
      </c>
      <c r="O71" s="20" t="str">
        <f t="shared" si="22"/>
        <v/>
      </c>
      <c r="P71" s="20" t="str">
        <f t="shared" si="22"/>
        <v/>
      </c>
      <c r="Q71" s="20" t="str">
        <f t="shared" si="22"/>
        <v/>
      </c>
      <c r="R71" s="20" t="str">
        <f t="shared" si="23"/>
        <v/>
      </c>
    </row>
    <row r="72" spans="1:18" x14ac:dyDescent="0.2">
      <c r="A72" s="20" t="s">
        <v>106</v>
      </c>
      <c r="B72" s="20" t="str">
        <f t="shared" ref="B72:Q87" si="24">IF(AND(B20="X",U20="X"),"X","")</f>
        <v>X</v>
      </c>
      <c r="C72" s="20" t="str">
        <f t="shared" si="24"/>
        <v>X</v>
      </c>
      <c r="D72" s="20" t="str">
        <f t="shared" si="24"/>
        <v>X</v>
      </c>
      <c r="E72" s="20" t="str">
        <f t="shared" si="24"/>
        <v>X</v>
      </c>
      <c r="F72" s="20" t="str">
        <f t="shared" si="24"/>
        <v>X</v>
      </c>
      <c r="G72" s="20" t="str">
        <f t="shared" si="24"/>
        <v>X</v>
      </c>
      <c r="H72" s="20" t="str">
        <f t="shared" si="24"/>
        <v>X</v>
      </c>
      <c r="I72" s="20" t="str">
        <f t="shared" si="24"/>
        <v>X</v>
      </c>
      <c r="J72" s="20" t="str">
        <f t="shared" si="24"/>
        <v>X</v>
      </c>
      <c r="K72" s="20" t="str">
        <f t="shared" si="24"/>
        <v>X</v>
      </c>
      <c r="L72" s="20" t="str">
        <f t="shared" si="24"/>
        <v>X</v>
      </c>
      <c r="M72" s="20" t="str">
        <f t="shared" si="24"/>
        <v>X</v>
      </c>
      <c r="N72" s="20" t="str">
        <f t="shared" si="24"/>
        <v>X</v>
      </c>
      <c r="O72" s="20" t="str">
        <f t="shared" si="24"/>
        <v>X</v>
      </c>
      <c r="P72" s="20" t="str">
        <f t="shared" si="24"/>
        <v/>
      </c>
      <c r="Q72" s="20" t="str">
        <f t="shared" si="24"/>
        <v/>
      </c>
      <c r="R72" s="20" t="str">
        <f t="shared" si="23"/>
        <v>X</v>
      </c>
    </row>
    <row r="73" spans="1:18" x14ac:dyDescent="0.2">
      <c r="A73" s="20" t="s">
        <v>103</v>
      </c>
      <c r="B73" s="20" t="str">
        <f t="shared" si="24"/>
        <v>X</v>
      </c>
      <c r="C73" s="20" t="str">
        <f t="shared" si="24"/>
        <v>X</v>
      </c>
      <c r="D73" s="20" t="str">
        <f t="shared" si="24"/>
        <v>X</v>
      </c>
      <c r="E73" s="20" t="str">
        <f t="shared" si="24"/>
        <v/>
      </c>
      <c r="F73" s="20" t="str">
        <f t="shared" si="24"/>
        <v/>
      </c>
      <c r="G73" s="20" t="str">
        <f t="shared" si="24"/>
        <v>X</v>
      </c>
      <c r="H73" s="20" t="str">
        <f t="shared" si="24"/>
        <v>X</v>
      </c>
      <c r="I73" s="20" t="str">
        <f t="shared" si="24"/>
        <v>X</v>
      </c>
      <c r="J73" s="20" t="str">
        <f t="shared" si="24"/>
        <v>X</v>
      </c>
      <c r="K73" s="20" t="str">
        <f t="shared" si="24"/>
        <v>X</v>
      </c>
      <c r="L73" s="20" t="str">
        <f t="shared" si="24"/>
        <v/>
      </c>
      <c r="M73" s="20" t="str">
        <f t="shared" si="24"/>
        <v>X</v>
      </c>
      <c r="N73" s="20" t="str">
        <f t="shared" si="24"/>
        <v>X</v>
      </c>
      <c r="O73" s="20" t="str">
        <f t="shared" si="24"/>
        <v/>
      </c>
      <c r="P73" s="20" t="str">
        <f t="shared" si="24"/>
        <v>X</v>
      </c>
      <c r="Q73" s="20" t="str">
        <f t="shared" si="24"/>
        <v/>
      </c>
      <c r="R73" s="20" t="str">
        <f t="shared" si="23"/>
        <v>X</v>
      </c>
    </row>
    <row r="74" spans="1:18" x14ac:dyDescent="0.2">
      <c r="A74" s="20" t="s">
        <v>124</v>
      </c>
      <c r="B74" s="20" t="str">
        <f t="shared" si="24"/>
        <v/>
      </c>
      <c r="C74" s="20" t="str">
        <f t="shared" si="24"/>
        <v>X</v>
      </c>
      <c r="D74" s="20" t="str">
        <f t="shared" si="24"/>
        <v>X</v>
      </c>
      <c r="E74" s="20" t="str">
        <f t="shared" si="24"/>
        <v/>
      </c>
      <c r="F74" s="20" t="str">
        <f t="shared" si="24"/>
        <v/>
      </c>
      <c r="G74" s="20" t="str">
        <f t="shared" si="24"/>
        <v/>
      </c>
      <c r="H74" s="20" t="str">
        <f t="shared" si="24"/>
        <v>X</v>
      </c>
      <c r="I74" s="20" t="str">
        <f t="shared" si="24"/>
        <v>X</v>
      </c>
      <c r="J74" s="20" t="str">
        <f t="shared" si="24"/>
        <v>X</v>
      </c>
      <c r="K74" s="20" t="str">
        <f t="shared" si="24"/>
        <v>X</v>
      </c>
      <c r="L74" s="20" t="str">
        <f t="shared" si="24"/>
        <v>X</v>
      </c>
      <c r="M74" s="20" t="str">
        <f t="shared" si="24"/>
        <v>X</v>
      </c>
      <c r="N74" s="20" t="str">
        <f t="shared" si="24"/>
        <v>X</v>
      </c>
      <c r="O74" s="20" t="str">
        <f t="shared" si="24"/>
        <v>X</v>
      </c>
      <c r="P74" s="20" t="str">
        <f t="shared" si="24"/>
        <v>X</v>
      </c>
      <c r="Q74" s="20" t="str">
        <f t="shared" si="24"/>
        <v>X</v>
      </c>
      <c r="R74" s="20" t="str">
        <f t="shared" si="23"/>
        <v>X</v>
      </c>
    </row>
    <row r="75" spans="1:18" x14ac:dyDescent="0.2">
      <c r="A75" s="20" t="s">
        <v>116</v>
      </c>
      <c r="B75" s="20" t="str">
        <f t="shared" si="24"/>
        <v>X</v>
      </c>
      <c r="C75" s="20" t="str">
        <f t="shared" si="24"/>
        <v>X</v>
      </c>
      <c r="D75" s="20" t="str">
        <f t="shared" si="24"/>
        <v>X</v>
      </c>
      <c r="E75" s="20" t="str">
        <f t="shared" si="24"/>
        <v/>
      </c>
      <c r="F75" s="20" t="str">
        <f t="shared" si="24"/>
        <v/>
      </c>
      <c r="G75" s="20" t="str">
        <f t="shared" si="24"/>
        <v>X</v>
      </c>
      <c r="H75" s="20" t="str">
        <f t="shared" si="24"/>
        <v>X</v>
      </c>
      <c r="I75" s="20" t="str">
        <f t="shared" si="24"/>
        <v>X</v>
      </c>
      <c r="J75" s="20" t="str">
        <f t="shared" si="24"/>
        <v>X</v>
      </c>
      <c r="K75" s="20" t="str">
        <f t="shared" si="24"/>
        <v>X</v>
      </c>
      <c r="L75" s="20" t="str">
        <f t="shared" si="24"/>
        <v>X</v>
      </c>
      <c r="M75" s="20" t="str">
        <f t="shared" si="24"/>
        <v>X</v>
      </c>
      <c r="N75" s="20" t="str">
        <f t="shared" si="24"/>
        <v>X</v>
      </c>
      <c r="O75" s="20" t="str">
        <f t="shared" si="24"/>
        <v/>
      </c>
      <c r="P75" s="20" t="str">
        <f t="shared" si="24"/>
        <v>X</v>
      </c>
      <c r="Q75" s="20" t="str">
        <f t="shared" si="24"/>
        <v/>
      </c>
      <c r="R75" s="20" t="str">
        <f t="shared" si="23"/>
        <v>X</v>
      </c>
    </row>
    <row r="76" spans="1:18" x14ac:dyDescent="0.2">
      <c r="A76" s="20" t="s">
        <v>117</v>
      </c>
      <c r="B76" s="20" t="str">
        <f t="shared" si="24"/>
        <v>X</v>
      </c>
      <c r="C76" s="20" t="str">
        <f t="shared" si="24"/>
        <v>X</v>
      </c>
      <c r="D76" s="20" t="str">
        <f t="shared" si="24"/>
        <v>X</v>
      </c>
      <c r="E76" s="20" t="str">
        <f t="shared" si="24"/>
        <v>X</v>
      </c>
      <c r="F76" s="20" t="str">
        <f t="shared" si="24"/>
        <v>X</v>
      </c>
      <c r="G76" s="20" t="str">
        <f t="shared" si="24"/>
        <v>X</v>
      </c>
      <c r="H76" s="20" t="str">
        <f t="shared" si="24"/>
        <v>X</v>
      </c>
      <c r="I76" s="20" t="str">
        <f t="shared" si="24"/>
        <v>X</v>
      </c>
      <c r="J76" s="20" t="str">
        <f t="shared" si="24"/>
        <v>X</v>
      </c>
      <c r="K76" s="20" t="str">
        <f t="shared" si="24"/>
        <v>X</v>
      </c>
      <c r="L76" s="20" t="str">
        <f t="shared" si="24"/>
        <v/>
      </c>
      <c r="M76" s="20" t="str">
        <f t="shared" si="24"/>
        <v>X</v>
      </c>
      <c r="N76" s="20" t="str">
        <f t="shared" si="24"/>
        <v/>
      </c>
      <c r="O76" s="20" t="str">
        <f t="shared" si="24"/>
        <v/>
      </c>
      <c r="P76" s="20" t="str">
        <f t="shared" si="24"/>
        <v>X</v>
      </c>
      <c r="Q76" s="20" t="str">
        <f t="shared" si="24"/>
        <v/>
      </c>
      <c r="R76" s="20" t="str">
        <f t="shared" si="23"/>
        <v>X</v>
      </c>
    </row>
    <row r="77" spans="1:18" x14ac:dyDescent="0.2">
      <c r="A77" s="20" t="s">
        <v>118</v>
      </c>
      <c r="B77" s="20" t="str">
        <f t="shared" si="24"/>
        <v>X</v>
      </c>
      <c r="C77" s="20" t="str">
        <f t="shared" si="24"/>
        <v>X</v>
      </c>
      <c r="D77" s="20" t="str">
        <f t="shared" si="24"/>
        <v>X</v>
      </c>
      <c r="E77" s="20" t="str">
        <f t="shared" si="24"/>
        <v>X</v>
      </c>
      <c r="F77" s="20" t="str">
        <f t="shared" si="24"/>
        <v>X</v>
      </c>
      <c r="G77" s="20" t="str">
        <f t="shared" si="24"/>
        <v>X</v>
      </c>
      <c r="H77" s="20" t="str">
        <f t="shared" si="24"/>
        <v>X</v>
      </c>
      <c r="I77" s="20" t="str">
        <f t="shared" si="24"/>
        <v>X</v>
      </c>
      <c r="J77" s="20" t="str">
        <f t="shared" si="24"/>
        <v>X</v>
      </c>
      <c r="K77" s="20" t="str">
        <f t="shared" si="24"/>
        <v>X</v>
      </c>
      <c r="L77" s="20" t="str">
        <f t="shared" si="24"/>
        <v/>
      </c>
      <c r="M77" s="20" t="str">
        <f t="shared" si="24"/>
        <v>X</v>
      </c>
      <c r="N77" s="20" t="str">
        <f t="shared" si="24"/>
        <v>X</v>
      </c>
      <c r="O77" s="20" t="str">
        <f t="shared" si="24"/>
        <v>X</v>
      </c>
      <c r="P77" s="20" t="str">
        <f t="shared" si="24"/>
        <v>X</v>
      </c>
      <c r="Q77" s="20" t="str">
        <f t="shared" si="24"/>
        <v>X</v>
      </c>
      <c r="R77" s="20" t="str">
        <f t="shared" si="23"/>
        <v>X</v>
      </c>
    </row>
    <row r="78" spans="1:18" x14ac:dyDescent="0.2">
      <c r="A78" s="20" t="s">
        <v>121</v>
      </c>
      <c r="B78" s="20" t="str">
        <f t="shared" si="24"/>
        <v>X</v>
      </c>
      <c r="C78" s="20" t="str">
        <f t="shared" si="24"/>
        <v>X</v>
      </c>
      <c r="D78" s="20" t="str">
        <f t="shared" si="24"/>
        <v>X</v>
      </c>
      <c r="E78" s="20" t="str">
        <f t="shared" si="24"/>
        <v>X</v>
      </c>
      <c r="F78" s="20" t="str">
        <f t="shared" si="24"/>
        <v>X</v>
      </c>
      <c r="G78" s="20" t="str">
        <f t="shared" si="24"/>
        <v>X</v>
      </c>
      <c r="H78" s="20" t="str">
        <f t="shared" si="24"/>
        <v>X</v>
      </c>
      <c r="I78" s="20" t="str">
        <f t="shared" si="24"/>
        <v>X</v>
      </c>
      <c r="J78" s="20" t="str">
        <f t="shared" si="24"/>
        <v>X</v>
      </c>
      <c r="K78" s="20" t="str">
        <f t="shared" si="24"/>
        <v>X</v>
      </c>
      <c r="L78" s="20" t="str">
        <f t="shared" si="24"/>
        <v/>
      </c>
      <c r="M78" s="20" t="str">
        <f t="shared" si="24"/>
        <v/>
      </c>
      <c r="N78" s="20" t="str">
        <f t="shared" si="24"/>
        <v>X</v>
      </c>
      <c r="O78" s="20" t="str">
        <f t="shared" si="24"/>
        <v>X</v>
      </c>
      <c r="P78" s="20" t="str">
        <f t="shared" si="24"/>
        <v>X</v>
      </c>
      <c r="Q78" s="20" t="str">
        <f t="shared" si="24"/>
        <v/>
      </c>
      <c r="R78" s="20" t="str">
        <f t="shared" si="23"/>
        <v>X</v>
      </c>
    </row>
    <row r="79" spans="1:18" x14ac:dyDescent="0.2">
      <c r="A79" s="20" t="s">
        <v>119</v>
      </c>
      <c r="B79" s="20" t="str">
        <f t="shared" si="24"/>
        <v>X</v>
      </c>
      <c r="C79" s="20" t="str">
        <f t="shared" si="24"/>
        <v>X</v>
      </c>
      <c r="D79" s="20" t="str">
        <f t="shared" si="24"/>
        <v>X</v>
      </c>
      <c r="E79" s="20" t="str">
        <f t="shared" si="24"/>
        <v>X</v>
      </c>
      <c r="F79" s="20" t="str">
        <f t="shared" si="24"/>
        <v>X</v>
      </c>
      <c r="G79" s="20" t="str">
        <f t="shared" si="24"/>
        <v>X</v>
      </c>
      <c r="H79" s="20" t="str">
        <f t="shared" si="24"/>
        <v>X</v>
      </c>
      <c r="I79" s="20" t="str">
        <f t="shared" si="24"/>
        <v>X</v>
      </c>
      <c r="J79" s="20" t="str">
        <f t="shared" si="24"/>
        <v>X</v>
      </c>
      <c r="K79" s="20" t="str">
        <f t="shared" si="24"/>
        <v>X</v>
      </c>
      <c r="L79" s="20" t="str">
        <f t="shared" si="24"/>
        <v>X</v>
      </c>
      <c r="M79" s="20" t="str">
        <f t="shared" si="24"/>
        <v>X</v>
      </c>
      <c r="N79" s="20" t="str">
        <f t="shared" si="24"/>
        <v>X</v>
      </c>
      <c r="O79" s="20" t="str">
        <f t="shared" si="24"/>
        <v>X</v>
      </c>
      <c r="P79" s="20" t="str">
        <f t="shared" si="24"/>
        <v>X</v>
      </c>
      <c r="Q79" s="20" t="str">
        <f t="shared" si="24"/>
        <v/>
      </c>
      <c r="R79" s="20" t="str">
        <f t="shared" si="23"/>
        <v>X</v>
      </c>
    </row>
    <row r="80" spans="1:18" x14ac:dyDescent="0.2">
      <c r="A80" s="20" t="s">
        <v>122</v>
      </c>
      <c r="B80" s="20" t="str">
        <f t="shared" si="24"/>
        <v>X</v>
      </c>
      <c r="C80" s="20" t="str">
        <f t="shared" si="24"/>
        <v>X</v>
      </c>
      <c r="D80" s="20" t="str">
        <f t="shared" si="24"/>
        <v>X</v>
      </c>
      <c r="E80" s="20" t="str">
        <f t="shared" si="24"/>
        <v>X</v>
      </c>
      <c r="F80" s="20" t="str">
        <f t="shared" si="24"/>
        <v>X</v>
      </c>
      <c r="G80" s="20" t="str">
        <f t="shared" si="24"/>
        <v>X</v>
      </c>
      <c r="H80" s="20" t="str">
        <f t="shared" si="24"/>
        <v>X</v>
      </c>
      <c r="I80" s="20" t="str">
        <f t="shared" si="24"/>
        <v>X</v>
      </c>
      <c r="J80" s="20" t="str">
        <f t="shared" si="24"/>
        <v>X</v>
      </c>
      <c r="K80" s="20" t="str">
        <f t="shared" si="24"/>
        <v>X</v>
      </c>
      <c r="L80" s="20" t="str">
        <f t="shared" si="24"/>
        <v>X</v>
      </c>
      <c r="M80" s="20" t="str">
        <f t="shared" si="24"/>
        <v>X</v>
      </c>
      <c r="N80" s="20" t="str">
        <f t="shared" si="24"/>
        <v>X</v>
      </c>
      <c r="O80" s="20" t="str">
        <f t="shared" si="24"/>
        <v>X</v>
      </c>
      <c r="P80" s="20" t="str">
        <f t="shared" si="24"/>
        <v>X</v>
      </c>
      <c r="Q80" s="20" t="str">
        <f t="shared" si="24"/>
        <v>X</v>
      </c>
      <c r="R80" s="20" t="str">
        <f t="shared" si="23"/>
        <v>X</v>
      </c>
    </row>
    <row r="81" spans="1:18" x14ac:dyDescent="0.2">
      <c r="A81" s="20" t="s">
        <v>123</v>
      </c>
      <c r="B81" s="20" t="str">
        <f t="shared" si="24"/>
        <v>X</v>
      </c>
      <c r="C81" s="20" t="str">
        <f t="shared" si="24"/>
        <v>X</v>
      </c>
      <c r="D81" s="20" t="str">
        <f t="shared" si="24"/>
        <v>X</v>
      </c>
      <c r="E81" s="20" t="str">
        <f t="shared" si="24"/>
        <v/>
      </c>
      <c r="F81" s="20" t="str">
        <f t="shared" si="24"/>
        <v/>
      </c>
      <c r="G81" s="20" t="str">
        <f t="shared" si="24"/>
        <v>X</v>
      </c>
      <c r="H81" s="20" t="str">
        <f t="shared" si="24"/>
        <v>X</v>
      </c>
      <c r="I81" s="20" t="str">
        <f t="shared" si="24"/>
        <v>X</v>
      </c>
      <c r="J81" s="20" t="str">
        <f t="shared" si="24"/>
        <v>X</v>
      </c>
      <c r="K81" s="20" t="str">
        <f t="shared" si="24"/>
        <v>X</v>
      </c>
      <c r="L81" s="20" t="str">
        <f t="shared" si="24"/>
        <v>X</v>
      </c>
      <c r="M81" s="20" t="str">
        <f t="shared" si="24"/>
        <v>X</v>
      </c>
      <c r="N81" s="20" t="str">
        <f t="shared" si="24"/>
        <v>X</v>
      </c>
      <c r="O81" s="20" t="str">
        <f t="shared" si="24"/>
        <v/>
      </c>
      <c r="P81" s="20" t="str">
        <f t="shared" si="24"/>
        <v>X</v>
      </c>
      <c r="Q81" s="20" t="str">
        <f t="shared" si="24"/>
        <v/>
      </c>
      <c r="R81" s="20" t="str">
        <f t="shared" si="23"/>
        <v>X</v>
      </c>
    </row>
    <row r="82" spans="1:18" x14ac:dyDescent="0.2">
      <c r="A82" s="20" t="s">
        <v>125</v>
      </c>
      <c r="B82" s="20" t="str">
        <f t="shared" si="24"/>
        <v>X</v>
      </c>
      <c r="C82" s="20" t="str">
        <f t="shared" si="24"/>
        <v>X</v>
      </c>
      <c r="D82" s="20" t="str">
        <f t="shared" si="24"/>
        <v>X</v>
      </c>
      <c r="E82" s="20" t="str">
        <f t="shared" si="24"/>
        <v>X</v>
      </c>
      <c r="F82" s="20" t="str">
        <f t="shared" si="24"/>
        <v>X</v>
      </c>
      <c r="G82" s="20" t="str">
        <f t="shared" si="24"/>
        <v>X</v>
      </c>
      <c r="H82" s="20" t="str">
        <f t="shared" si="24"/>
        <v>X</v>
      </c>
      <c r="I82" s="20" t="str">
        <f t="shared" si="24"/>
        <v>X</v>
      </c>
      <c r="J82" s="20" t="str">
        <f t="shared" si="24"/>
        <v>X</v>
      </c>
      <c r="K82" s="20" t="str">
        <f t="shared" si="24"/>
        <v>X</v>
      </c>
      <c r="L82" s="20" t="str">
        <f t="shared" si="24"/>
        <v>X</v>
      </c>
      <c r="M82" s="20" t="str">
        <f t="shared" si="24"/>
        <v>X</v>
      </c>
      <c r="N82" s="20" t="str">
        <f t="shared" si="24"/>
        <v/>
      </c>
      <c r="O82" s="20" t="str">
        <f t="shared" si="24"/>
        <v/>
      </c>
      <c r="P82" s="20" t="str">
        <f t="shared" si="24"/>
        <v/>
      </c>
      <c r="Q82" s="20" t="str">
        <f t="shared" si="24"/>
        <v/>
      </c>
      <c r="R82" s="20" t="str">
        <f t="shared" si="23"/>
        <v/>
      </c>
    </row>
    <row r="83" spans="1:18" x14ac:dyDescent="0.2">
      <c r="A83" s="20" t="s">
        <v>126</v>
      </c>
      <c r="B83" s="20" t="str">
        <f t="shared" si="24"/>
        <v>X</v>
      </c>
      <c r="C83" s="20" t="str">
        <f t="shared" si="24"/>
        <v/>
      </c>
      <c r="D83" s="20" t="str">
        <f t="shared" si="24"/>
        <v/>
      </c>
      <c r="E83" s="20" t="str">
        <f t="shared" si="24"/>
        <v/>
      </c>
      <c r="F83" s="20" t="str">
        <f t="shared" si="24"/>
        <v/>
      </c>
      <c r="G83" s="20" t="str">
        <f t="shared" si="24"/>
        <v>X</v>
      </c>
      <c r="H83" s="20" t="str">
        <f t="shared" si="24"/>
        <v>X</v>
      </c>
      <c r="I83" s="20" t="str">
        <f t="shared" si="24"/>
        <v>X</v>
      </c>
      <c r="J83" s="20" t="str">
        <f t="shared" si="24"/>
        <v>X</v>
      </c>
      <c r="K83" s="20" t="str">
        <f t="shared" si="24"/>
        <v>X</v>
      </c>
      <c r="L83" s="20" t="str">
        <f t="shared" si="24"/>
        <v>X</v>
      </c>
      <c r="M83" s="20" t="str">
        <f t="shared" si="24"/>
        <v>X</v>
      </c>
      <c r="N83" s="20" t="str">
        <f t="shared" si="24"/>
        <v>X</v>
      </c>
      <c r="O83" s="20" t="str">
        <f t="shared" si="24"/>
        <v/>
      </c>
      <c r="P83" s="20" t="str">
        <f t="shared" si="24"/>
        <v>X</v>
      </c>
      <c r="Q83" s="20" t="str">
        <f t="shared" si="24"/>
        <v/>
      </c>
      <c r="R83" s="20" t="str">
        <f t="shared" si="23"/>
        <v>X</v>
      </c>
    </row>
    <row r="84" spans="1:18" x14ac:dyDescent="0.2">
      <c r="A84" s="20" t="s">
        <v>127</v>
      </c>
      <c r="B84" s="20" t="str">
        <f t="shared" si="24"/>
        <v>X</v>
      </c>
      <c r="C84" s="20" t="str">
        <f t="shared" si="24"/>
        <v>X</v>
      </c>
      <c r="D84" s="20" t="str">
        <f t="shared" si="24"/>
        <v>X</v>
      </c>
      <c r="E84" s="20" t="str">
        <f t="shared" si="24"/>
        <v>X</v>
      </c>
      <c r="F84" s="20" t="str">
        <f t="shared" si="24"/>
        <v>X</v>
      </c>
      <c r="G84" s="20" t="str">
        <f t="shared" si="24"/>
        <v>X</v>
      </c>
      <c r="H84" s="20" t="str">
        <f t="shared" si="24"/>
        <v>X</v>
      </c>
      <c r="I84" s="20" t="str">
        <f t="shared" si="24"/>
        <v>X</v>
      </c>
      <c r="J84" s="20" t="str">
        <f t="shared" si="24"/>
        <v>X</v>
      </c>
      <c r="K84" s="20" t="str">
        <f t="shared" si="24"/>
        <v>X</v>
      </c>
      <c r="L84" s="20" t="str">
        <f t="shared" si="24"/>
        <v>X</v>
      </c>
      <c r="M84" s="20" t="str">
        <f t="shared" si="24"/>
        <v>X</v>
      </c>
      <c r="N84" s="20" t="str">
        <f t="shared" si="24"/>
        <v>X</v>
      </c>
      <c r="O84" s="20" t="str">
        <f t="shared" si="24"/>
        <v/>
      </c>
      <c r="P84" s="20" t="str">
        <f t="shared" si="24"/>
        <v>X</v>
      </c>
      <c r="Q84" s="20" t="str">
        <f t="shared" si="24"/>
        <v/>
      </c>
      <c r="R84" s="20" t="str">
        <f t="shared" si="23"/>
        <v>X</v>
      </c>
    </row>
    <row r="85" spans="1:18" x14ac:dyDescent="0.2">
      <c r="A85" s="20" t="s">
        <v>129</v>
      </c>
      <c r="B85" s="20" t="str">
        <f t="shared" si="24"/>
        <v>X</v>
      </c>
      <c r="C85" s="20" t="str">
        <f t="shared" si="24"/>
        <v>X</v>
      </c>
      <c r="D85" s="20" t="str">
        <f t="shared" si="24"/>
        <v/>
      </c>
      <c r="E85" s="20" t="str">
        <f t="shared" si="24"/>
        <v>X</v>
      </c>
      <c r="F85" s="20" t="str">
        <f t="shared" si="24"/>
        <v>X</v>
      </c>
      <c r="G85" s="20" t="str">
        <f t="shared" si="24"/>
        <v>X</v>
      </c>
      <c r="H85" s="20" t="str">
        <f t="shared" si="24"/>
        <v>X</v>
      </c>
      <c r="I85" s="20" t="str">
        <f t="shared" si="24"/>
        <v>X</v>
      </c>
      <c r="J85" s="20" t="str">
        <f t="shared" si="24"/>
        <v>X</v>
      </c>
      <c r="K85" s="20" t="str">
        <f t="shared" si="24"/>
        <v>X</v>
      </c>
      <c r="L85" s="20" t="str">
        <f t="shared" si="24"/>
        <v>X</v>
      </c>
      <c r="M85" s="20" t="str">
        <f t="shared" si="24"/>
        <v>X</v>
      </c>
      <c r="N85" s="20" t="str">
        <f t="shared" si="24"/>
        <v>X</v>
      </c>
      <c r="O85" s="20" t="str">
        <f t="shared" si="24"/>
        <v>X</v>
      </c>
      <c r="P85" s="20" t="str">
        <f t="shared" si="24"/>
        <v/>
      </c>
      <c r="Q85" s="20" t="str">
        <f t="shared" si="24"/>
        <v/>
      </c>
      <c r="R85" s="20" t="str">
        <f t="shared" si="23"/>
        <v/>
      </c>
    </row>
    <row r="86" spans="1:18" x14ac:dyDescent="0.2">
      <c r="A86" s="20" t="s">
        <v>130</v>
      </c>
      <c r="B86" s="20" t="str">
        <f t="shared" si="24"/>
        <v>X</v>
      </c>
      <c r="C86" s="20" t="str">
        <f t="shared" si="24"/>
        <v>X</v>
      </c>
      <c r="D86" s="20" t="str">
        <f t="shared" si="24"/>
        <v>X</v>
      </c>
      <c r="E86" s="20" t="str">
        <f t="shared" si="24"/>
        <v/>
      </c>
      <c r="F86" s="20" t="str">
        <f t="shared" si="24"/>
        <v/>
      </c>
      <c r="G86" s="20" t="str">
        <f t="shared" si="24"/>
        <v>X</v>
      </c>
      <c r="H86" s="20" t="str">
        <f t="shared" si="24"/>
        <v>X</v>
      </c>
      <c r="I86" s="20" t="str">
        <f t="shared" si="24"/>
        <v>X</v>
      </c>
      <c r="J86" s="20" t="str">
        <f t="shared" si="24"/>
        <v>X</v>
      </c>
      <c r="K86" s="20" t="str">
        <f t="shared" si="24"/>
        <v>X</v>
      </c>
      <c r="L86" s="20" t="str">
        <f t="shared" si="24"/>
        <v/>
      </c>
      <c r="M86" s="20" t="str">
        <f t="shared" si="24"/>
        <v>X</v>
      </c>
      <c r="N86" s="20" t="str">
        <f t="shared" si="24"/>
        <v/>
      </c>
      <c r="O86" s="20" t="str">
        <f t="shared" si="24"/>
        <v>X</v>
      </c>
      <c r="P86" s="20" t="str">
        <f t="shared" si="24"/>
        <v>X</v>
      </c>
      <c r="Q86" s="20" t="str">
        <f t="shared" si="24"/>
        <v>X</v>
      </c>
      <c r="R86" s="20" t="str">
        <f t="shared" si="23"/>
        <v>X</v>
      </c>
    </row>
    <row r="87" spans="1:18" x14ac:dyDescent="0.2">
      <c r="A87" s="20" t="s">
        <v>131</v>
      </c>
      <c r="B87" s="20" t="str">
        <f t="shared" si="24"/>
        <v>X</v>
      </c>
      <c r="C87" s="20" t="str">
        <f t="shared" si="24"/>
        <v>X</v>
      </c>
      <c r="D87" s="20" t="str">
        <f t="shared" si="24"/>
        <v>X</v>
      </c>
      <c r="E87" s="20" t="str">
        <f t="shared" si="24"/>
        <v>X</v>
      </c>
      <c r="F87" s="20" t="str">
        <f t="shared" si="24"/>
        <v>X</v>
      </c>
      <c r="G87" s="20" t="str">
        <f t="shared" si="24"/>
        <v>X</v>
      </c>
      <c r="H87" s="20" t="str">
        <f t="shared" si="24"/>
        <v>X</v>
      </c>
      <c r="I87" s="20" t="str">
        <f t="shared" si="24"/>
        <v>X</v>
      </c>
      <c r="J87" s="20" t="str">
        <f t="shared" si="24"/>
        <v>X</v>
      </c>
      <c r="K87" s="20" t="str">
        <f t="shared" si="24"/>
        <v>X</v>
      </c>
      <c r="L87" s="20" t="str">
        <f t="shared" si="24"/>
        <v>X</v>
      </c>
      <c r="M87" s="20" t="str">
        <f t="shared" si="24"/>
        <v>X</v>
      </c>
      <c r="N87" s="20" t="str">
        <f t="shared" si="24"/>
        <v/>
      </c>
      <c r="O87" s="20" t="str">
        <f t="shared" si="24"/>
        <v>X</v>
      </c>
      <c r="P87" s="20" t="str">
        <f t="shared" si="24"/>
        <v>X</v>
      </c>
      <c r="Q87" s="20" t="str">
        <f t="shared" ref="Q87:Q90" si="25">IF(AND(Q35="X",AJ35="X"),"X","")</f>
        <v/>
      </c>
      <c r="R87" s="20" t="str">
        <f t="shared" si="23"/>
        <v/>
      </c>
    </row>
    <row r="88" spans="1:18" x14ac:dyDescent="0.2">
      <c r="A88" s="20" t="s">
        <v>159</v>
      </c>
      <c r="B88" s="20" t="str">
        <f t="shared" ref="B88:P90" si="26">IF(AND(B36="X",U36="X"),"X","")</f>
        <v>X</v>
      </c>
      <c r="C88" s="20" t="str">
        <f t="shared" si="26"/>
        <v>X</v>
      </c>
      <c r="D88" s="20" t="str">
        <f t="shared" si="26"/>
        <v>X</v>
      </c>
      <c r="E88" s="20" t="str">
        <f t="shared" si="26"/>
        <v>X</v>
      </c>
      <c r="F88" s="20" t="str">
        <f t="shared" si="26"/>
        <v>X</v>
      </c>
      <c r="G88" s="20" t="str">
        <f t="shared" si="26"/>
        <v/>
      </c>
      <c r="H88" s="20" t="str">
        <f t="shared" si="26"/>
        <v>X</v>
      </c>
      <c r="I88" s="20" t="str">
        <f t="shared" si="26"/>
        <v>X</v>
      </c>
      <c r="J88" s="20" t="str">
        <f t="shared" si="26"/>
        <v>X</v>
      </c>
      <c r="K88" s="20" t="str">
        <f t="shared" si="26"/>
        <v>X</v>
      </c>
      <c r="L88" s="20" t="str">
        <f t="shared" si="26"/>
        <v/>
      </c>
      <c r="M88" s="20" t="str">
        <f t="shared" si="26"/>
        <v>X</v>
      </c>
      <c r="N88" s="20" t="str">
        <f t="shared" si="26"/>
        <v>X</v>
      </c>
      <c r="O88" s="20" t="str">
        <f t="shared" si="26"/>
        <v>X</v>
      </c>
      <c r="P88" s="20" t="str">
        <f t="shared" si="26"/>
        <v>X</v>
      </c>
      <c r="Q88" s="20" t="str">
        <f t="shared" si="25"/>
        <v/>
      </c>
      <c r="R88" s="20" t="str">
        <f t="shared" si="23"/>
        <v>X</v>
      </c>
    </row>
    <row r="89" spans="1:18" x14ac:dyDescent="0.2">
      <c r="A89" s="20" t="s">
        <v>160</v>
      </c>
      <c r="B89" s="20" t="str">
        <f t="shared" si="26"/>
        <v>X</v>
      </c>
      <c r="C89" s="20" t="str">
        <f t="shared" si="26"/>
        <v>X</v>
      </c>
      <c r="D89" s="20" t="str">
        <f t="shared" si="26"/>
        <v/>
      </c>
      <c r="E89" s="20" t="str">
        <f t="shared" si="26"/>
        <v/>
      </c>
      <c r="F89" s="20" t="str">
        <f t="shared" si="26"/>
        <v/>
      </c>
      <c r="G89" s="20" t="str">
        <f t="shared" si="26"/>
        <v/>
      </c>
      <c r="H89" s="20" t="str">
        <f t="shared" si="26"/>
        <v>X</v>
      </c>
      <c r="I89" s="20" t="str">
        <f t="shared" si="26"/>
        <v>X</v>
      </c>
      <c r="J89" s="20" t="str">
        <f t="shared" si="26"/>
        <v>X</v>
      </c>
      <c r="K89" s="20" t="str">
        <f t="shared" si="26"/>
        <v>X</v>
      </c>
      <c r="L89" s="20" t="str">
        <f t="shared" si="26"/>
        <v/>
      </c>
      <c r="M89" s="20" t="str">
        <f t="shared" si="26"/>
        <v>X</v>
      </c>
      <c r="N89" s="20" t="str">
        <f t="shared" si="26"/>
        <v>X</v>
      </c>
      <c r="O89" s="20" t="str">
        <f t="shared" si="26"/>
        <v>X</v>
      </c>
      <c r="P89" s="20" t="str">
        <f t="shared" si="26"/>
        <v/>
      </c>
      <c r="Q89" s="20" t="str">
        <f t="shared" si="25"/>
        <v/>
      </c>
      <c r="R89" s="20" t="str">
        <f t="shared" si="23"/>
        <v/>
      </c>
    </row>
    <row r="90" spans="1:18" x14ac:dyDescent="0.2">
      <c r="A90" s="20" t="s">
        <v>161</v>
      </c>
      <c r="B90" s="20" t="str">
        <f t="shared" si="26"/>
        <v>X</v>
      </c>
      <c r="C90" s="20" t="str">
        <f t="shared" si="26"/>
        <v>X</v>
      </c>
      <c r="D90" s="20" t="str">
        <f t="shared" si="26"/>
        <v>X</v>
      </c>
      <c r="E90" s="20" t="str">
        <f t="shared" si="26"/>
        <v>X</v>
      </c>
      <c r="F90" s="20" t="str">
        <f t="shared" si="26"/>
        <v>X</v>
      </c>
      <c r="G90" s="20" t="str">
        <f t="shared" si="26"/>
        <v>X</v>
      </c>
      <c r="H90" s="20" t="str">
        <f t="shared" si="26"/>
        <v>X</v>
      </c>
      <c r="I90" s="20" t="str">
        <f t="shared" si="26"/>
        <v>X</v>
      </c>
      <c r="J90" s="20" t="str">
        <f t="shared" si="26"/>
        <v>X</v>
      </c>
      <c r="K90" s="20" t="str">
        <f t="shared" si="26"/>
        <v>X</v>
      </c>
      <c r="L90" s="20" t="str">
        <f t="shared" si="26"/>
        <v/>
      </c>
      <c r="M90" s="20" t="str">
        <f t="shared" si="26"/>
        <v/>
      </c>
      <c r="N90" s="20" t="str">
        <f t="shared" si="26"/>
        <v>X</v>
      </c>
      <c r="O90" s="20" t="str">
        <f t="shared" si="26"/>
        <v>X</v>
      </c>
      <c r="P90" s="20" t="str">
        <f t="shared" si="26"/>
        <v>X</v>
      </c>
      <c r="Q90" s="20" t="str">
        <f t="shared" si="25"/>
        <v/>
      </c>
      <c r="R90" s="20" t="str">
        <f t="shared" si="23"/>
        <v>X</v>
      </c>
    </row>
    <row r="94" spans="1:18" x14ac:dyDescent="0.2">
      <c r="A94" s="20"/>
    </row>
    <row r="95" spans="1:18" x14ac:dyDescent="0.2">
      <c r="A95" s="20"/>
    </row>
    <row r="96" spans="1:18" x14ac:dyDescent="0.2">
      <c r="A96" s="20"/>
    </row>
    <row r="97" spans="1:1" x14ac:dyDescent="0.2">
      <c r="A97" s="20"/>
    </row>
    <row r="98" spans="1:1" x14ac:dyDescent="0.2">
      <c r="A98" s="20"/>
    </row>
    <row r="99" spans="1:1" x14ac:dyDescent="0.2">
      <c r="A99" s="20"/>
    </row>
    <row r="100" spans="1:1" x14ac:dyDescent="0.2">
      <c r="A100" s="20"/>
    </row>
    <row r="101" spans="1:1" x14ac:dyDescent="0.2">
      <c r="A101" s="20"/>
    </row>
    <row r="102" spans="1:1" x14ac:dyDescent="0.2">
      <c r="A102" s="20"/>
    </row>
    <row r="103" spans="1:1" x14ac:dyDescent="0.2">
      <c r="A103" s="20"/>
    </row>
    <row r="104" spans="1:1" x14ac:dyDescent="0.2">
      <c r="A104" s="20"/>
    </row>
    <row r="105" spans="1:1" x14ac:dyDescent="0.2">
      <c r="A105" s="20"/>
    </row>
    <row r="106" spans="1:1" x14ac:dyDescent="0.2">
      <c r="A106" s="20"/>
    </row>
    <row r="107" spans="1:1" x14ac:dyDescent="0.2">
      <c r="A107" s="20"/>
    </row>
    <row r="108" spans="1:1" x14ac:dyDescent="0.2">
      <c r="A108" s="20"/>
    </row>
    <row r="109" spans="1:1" x14ac:dyDescent="0.2">
      <c r="A109" s="20"/>
    </row>
    <row r="110" spans="1:1" x14ac:dyDescent="0.2">
      <c r="A110" s="20"/>
    </row>
    <row r="111" spans="1:1" x14ac:dyDescent="0.2">
      <c r="A111" s="20"/>
    </row>
    <row r="112" spans="1:1" x14ac:dyDescent="0.2">
      <c r="A112" s="20"/>
    </row>
    <row r="113" spans="1:1" x14ac:dyDescent="0.2">
      <c r="A113" s="20"/>
    </row>
    <row r="114" spans="1:1" x14ac:dyDescent="0.2">
      <c r="A114" s="20"/>
    </row>
    <row r="115" spans="1:1" x14ac:dyDescent="0.2">
      <c r="A115" s="20"/>
    </row>
    <row r="116" spans="1:1" x14ac:dyDescent="0.2">
      <c r="A116" s="20"/>
    </row>
    <row r="117" spans="1:1" x14ac:dyDescent="0.2">
      <c r="A117" s="20"/>
    </row>
    <row r="118" spans="1:1" x14ac:dyDescent="0.2">
      <c r="A118" s="20"/>
    </row>
    <row r="119" spans="1:1" x14ac:dyDescent="0.2">
      <c r="A119" s="20"/>
    </row>
    <row r="120" spans="1:1" x14ac:dyDescent="0.2">
      <c r="A120" s="20"/>
    </row>
    <row r="121" spans="1:1" x14ac:dyDescent="0.2">
      <c r="A121" s="20"/>
    </row>
    <row r="122" spans="1:1" x14ac:dyDescent="0.2">
      <c r="A122" s="20"/>
    </row>
    <row r="123" spans="1:1" x14ac:dyDescent="0.2">
      <c r="A123" s="20"/>
    </row>
    <row r="124" spans="1:1" x14ac:dyDescent="0.2">
      <c r="A124" s="20"/>
    </row>
    <row r="125" spans="1:1" x14ac:dyDescent="0.2">
      <c r="A125" s="20"/>
    </row>
    <row r="126" spans="1:1" x14ac:dyDescent="0.2">
      <c r="A126" s="20"/>
    </row>
    <row r="127" spans="1:1" x14ac:dyDescent="0.2">
      <c r="A127" s="20"/>
    </row>
    <row r="128" spans="1:1" x14ac:dyDescent="0.2">
      <c r="A128" s="20"/>
    </row>
    <row r="129" spans="1:1" x14ac:dyDescent="0.2">
      <c r="A129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9531-7548-9A4D-A06F-1C74281E2B49}">
  <dimension ref="A1:D9"/>
  <sheetViews>
    <sheetView workbookViewId="0">
      <selection activeCell="D18" sqref="D18"/>
    </sheetView>
  </sheetViews>
  <sheetFormatPr baseColWidth="10" defaultRowHeight="16" x14ac:dyDescent="0.2"/>
  <cols>
    <col min="1" max="1" width="28.5" bestFit="1" customWidth="1"/>
    <col min="2" max="2" width="15.6640625" customWidth="1"/>
    <col min="4" max="4" width="75.1640625" bestFit="1" customWidth="1"/>
  </cols>
  <sheetData>
    <row r="1" spans="1:4" x14ac:dyDescent="0.2">
      <c r="A1" s="10" t="s">
        <v>132</v>
      </c>
      <c r="B1" s="10" t="s">
        <v>137</v>
      </c>
      <c r="C1" s="10" t="s">
        <v>133</v>
      </c>
      <c r="D1" s="10" t="s">
        <v>135</v>
      </c>
    </row>
    <row r="2" spans="1:4" x14ac:dyDescent="0.2">
      <c r="A2" t="s">
        <v>158</v>
      </c>
      <c r="B2" t="s">
        <v>138</v>
      </c>
      <c r="C2" t="s">
        <v>134</v>
      </c>
      <c r="D2" t="s">
        <v>136</v>
      </c>
    </row>
    <row r="3" spans="1:4" x14ac:dyDescent="0.2">
      <c r="A3" t="s">
        <v>104</v>
      </c>
      <c r="B3" t="s">
        <v>139</v>
      </c>
      <c r="C3" t="s">
        <v>134</v>
      </c>
      <c r="D3" t="s">
        <v>140</v>
      </c>
    </row>
    <row r="4" spans="1:4" x14ac:dyDescent="0.2">
      <c r="A4" t="s">
        <v>141</v>
      </c>
      <c r="B4" t="s">
        <v>142</v>
      </c>
      <c r="C4" t="s">
        <v>134</v>
      </c>
      <c r="D4" t="s">
        <v>143</v>
      </c>
    </row>
    <row r="5" spans="1:4" x14ac:dyDescent="0.2">
      <c r="A5" t="s">
        <v>144</v>
      </c>
      <c r="B5" t="s">
        <v>145</v>
      </c>
      <c r="C5" t="s">
        <v>134</v>
      </c>
      <c r="D5" t="s">
        <v>146</v>
      </c>
    </row>
    <row r="6" spans="1:4" x14ac:dyDescent="0.2">
      <c r="A6" t="s">
        <v>147</v>
      </c>
      <c r="B6" t="s">
        <v>148</v>
      </c>
      <c r="C6" t="s">
        <v>134</v>
      </c>
      <c r="D6" t="s">
        <v>149</v>
      </c>
    </row>
    <row r="7" spans="1:4" x14ac:dyDescent="0.2">
      <c r="A7" t="s">
        <v>150</v>
      </c>
      <c r="B7" t="s">
        <v>151</v>
      </c>
      <c r="C7" t="s">
        <v>134</v>
      </c>
      <c r="D7" t="s">
        <v>152</v>
      </c>
    </row>
    <row r="8" spans="1:4" x14ac:dyDescent="0.2">
      <c r="A8" t="s">
        <v>153</v>
      </c>
      <c r="B8" t="s">
        <v>154</v>
      </c>
      <c r="C8" t="s">
        <v>134</v>
      </c>
      <c r="D8" t="s">
        <v>155</v>
      </c>
    </row>
    <row r="9" spans="1:4" x14ac:dyDescent="0.2">
      <c r="A9" t="s">
        <v>128</v>
      </c>
      <c r="B9" t="s">
        <v>156</v>
      </c>
      <c r="C9" t="s">
        <v>134</v>
      </c>
      <c r="D9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449-A6C6-8246-8721-E14EF6694C22}">
  <dimension ref="A1:AG342"/>
  <sheetViews>
    <sheetView zoomScaleNormal="100" workbookViewId="0">
      <pane ySplit="1" topLeftCell="A31" activePane="bottomLeft" state="frozen"/>
      <selection pane="bottomLeft" activeCell="G56" sqref="G56"/>
    </sheetView>
  </sheetViews>
  <sheetFormatPr baseColWidth="10" defaultRowHeight="16" x14ac:dyDescent="0.2"/>
  <cols>
    <col min="1" max="1" width="19.6640625" bestFit="1" customWidth="1"/>
    <col min="2" max="2" width="11.33203125" bestFit="1" customWidth="1"/>
    <col min="3" max="3" width="11.6640625" bestFit="1" customWidth="1"/>
    <col min="6" max="7" width="10.83203125" customWidth="1"/>
    <col min="8" max="8" width="12.1640625" bestFit="1" customWidth="1"/>
    <col min="29" max="29" width="12.1640625" bestFit="1" customWidth="1"/>
  </cols>
  <sheetData>
    <row r="1" spans="1:33" s="3" customFormat="1" ht="19" x14ac:dyDescent="0.25">
      <c r="A1" s="3" t="s">
        <v>0</v>
      </c>
      <c r="B1" s="3" t="s">
        <v>1</v>
      </c>
      <c r="C1" s="3" t="s">
        <v>2</v>
      </c>
      <c r="F1" s="4">
        <v>1</v>
      </c>
      <c r="G1" s="4">
        <v>2</v>
      </c>
      <c r="H1" s="4">
        <v>3</v>
      </c>
      <c r="I1" s="4">
        <v>4</v>
      </c>
      <c r="J1" s="4">
        <v>5</v>
      </c>
      <c r="K1" s="4">
        <v>6</v>
      </c>
      <c r="L1" s="4">
        <v>7</v>
      </c>
      <c r="M1" s="4">
        <v>8</v>
      </c>
      <c r="N1" s="4">
        <v>9</v>
      </c>
      <c r="O1" s="4">
        <v>10</v>
      </c>
      <c r="P1" s="4">
        <v>11</v>
      </c>
      <c r="Q1" s="4">
        <v>12</v>
      </c>
      <c r="R1" s="4">
        <v>13</v>
      </c>
      <c r="S1" s="4">
        <v>14</v>
      </c>
      <c r="T1" s="4">
        <v>15</v>
      </c>
      <c r="U1" s="4">
        <v>16</v>
      </c>
      <c r="V1" s="4">
        <v>17</v>
      </c>
      <c r="W1" s="4">
        <v>18</v>
      </c>
      <c r="X1" s="4">
        <v>19</v>
      </c>
      <c r="Y1" s="4">
        <v>20</v>
      </c>
      <c r="Z1" s="4">
        <v>21</v>
      </c>
      <c r="AA1" s="4">
        <v>22</v>
      </c>
      <c r="AB1" s="3" t="s">
        <v>55</v>
      </c>
      <c r="AC1" s="3" t="s">
        <v>56</v>
      </c>
    </row>
    <row r="2" spans="1:33" x14ac:dyDescent="0.2">
      <c r="A2" t="s">
        <v>3</v>
      </c>
      <c r="B2">
        <v>15</v>
      </c>
      <c r="C2">
        <v>16</v>
      </c>
      <c r="I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43</v>
      </c>
      <c r="T2" t="s">
        <v>53</v>
      </c>
      <c r="U2" t="s">
        <v>53</v>
      </c>
      <c r="V2" t="s">
        <v>53</v>
      </c>
      <c r="W2" t="s">
        <v>53</v>
      </c>
      <c r="Y2" t="s">
        <v>53</v>
      </c>
      <c r="Z2" t="s">
        <v>53</v>
      </c>
      <c r="AB2" cm="1">
        <f t="array" ref="AB2">SUM(IF("X" = F2:AA2, 1, 0))</f>
        <v>15</v>
      </c>
      <c r="AC2" cm="1">
        <f t="array" ref="AC2">SUM(IF("?" = F2:AA2, 1, 0)) + AB2</f>
        <v>16</v>
      </c>
      <c r="AF2" t="b">
        <f>AB2=B2</f>
        <v>1</v>
      </c>
      <c r="AG2" t="b">
        <f>AC2=C2</f>
        <v>1</v>
      </c>
    </row>
    <row r="3" spans="1:33" x14ac:dyDescent="0.2">
      <c r="A3" t="s">
        <v>5</v>
      </c>
      <c r="B3">
        <v>13</v>
      </c>
      <c r="C3">
        <v>13</v>
      </c>
      <c r="F3" t="s">
        <v>53</v>
      </c>
      <c r="G3" t="s">
        <v>53</v>
      </c>
      <c r="O3" t="s">
        <v>53</v>
      </c>
      <c r="P3" t="s">
        <v>53</v>
      </c>
      <c r="Q3" t="s">
        <v>53</v>
      </c>
      <c r="R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AA3" t="s">
        <v>53</v>
      </c>
      <c r="AB3" cm="1">
        <f t="array" ref="AB3">SUM(IF("X" = F3:AA3, 1, 0))</f>
        <v>13</v>
      </c>
      <c r="AC3" cm="1">
        <f t="array" ref="AC3">SUM(IF("?" = F3:AA3, 1, 0)) + AB3</f>
        <v>13</v>
      </c>
      <c r="AF3" t="b">
        <f t="shared" ref="AF3:AG33" si="0">AB3=B3</f>
        <v>1</v>
      </c>
      <c r="AG3" t="b">
        <f t="shared" si="0"/>
        <v>1</v>
      </c>
    </row>
    <row r="4" spans="1:33" x14ac:dyDescent="0.2">
      <c r="A4" s="8" t="s">
        <v>6</v>
      </c>
      <c r="B4">
        <v>19</v>
      </c>
      <c r="C4">
        <v>19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W4" t="s">
        <v>53</v>
      </c>
      <c r="X4" t="s">
        <v>53</v>
      </c>
      <c r="Y4" t="s">
        <v>53</v>
      </c>
      <c r="AA4" t="s">
        <v>53</v>
      </c>
      <c r="AB4" cm="1">
        <f t="array" ref="AB4">SUM(IF("X" = F4:AA4, 1, 0))</f>
        <v>19</v>
      </c>
      <c r="AC4" cm="1">
        <f t="array" ref="AC4">SUM(IF("?" = F4:AA4, 1, 0)) + AB4</f>
        <v>19</v>
      </c>
      <c r="AF4" t="b">
        <f t="shared" si="0"/>
        <v>1</v>
      </c>
      <c r="AG4" t="b">
        <f t="shared" si="0"/>
        <v>1</v>
      </c>
    </row>
    <row r="5" spans="1:33" x14ac:dyDescent="0.2">
      <c r="A5" t="s">
        <v>7</v>
      </c>
      <c r="B5">
        <v>12</v>
      </c>
      <c r="C5">
        <v>13</v>
      </c>
      <c r="G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O5" t="s">
        <v>43</v>
      </c>
      <c r="T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cm="1">
        <f t="array" ref="AB5">SUM(IF("X" = F5:AA5, 1, 0))</f>
        <v>12</v>
      </c>
      <c r="AC5" cm="1">
        <f t="array" ref="AC5">SUM(IF("?" = F5:AA5, 1, 0)) + AB5</f>
        <v>13</v>
      </c>
      <c r="AF5" t="b">
        <f t="shared" si="0"/>
        <v>1</v>
      </c>
      <c r="AG5" t="b">
        <f t="shared" si="0"/>
        <v>1</v>
      </c>
    </row>
    <row r="6" spans="1:33" x14ac:dyDescent="0.2">
      <c r="A6" t="s">
        <v>8</v>
      </c>
      <c r="B6">
        <v>16</v>
      </c>
      <c r="C6">
        <v>16</v>
      </c>
      <c r="G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R6" t="s">
        <v>53</v>
      </c>
      <c r="T6" t="s">
        <v>53</v>
      </c>
      <c r="U6" t="s">
        <v>53</v>
      </c>
      <c r="V6" t="s">
        <v>53</v>
      </c>
      <c r="W6" t="s">
        <v>53</v>
      </c>
      <c r="Y6" t="s">
        <v>53</v>
      </c>
      <c r="AA6" t="s">
        <v>53</v>
      </c>
      <c r="AB6" cm="1">
        <f t="array" ref="AB6">SUM(IF("X" = F6:AA6, 1, 0))</f>
        <v>16</v>
      </c>
      <c r="AC6" cm="1">
        <f t="array" ref="AC6">SUM(IF("?" = F6:AA6, 1, 0)) + AB6</f>
        <v>16</v>
      </c>
      <c r="AF6" t="b">
        <f t="shared" si="0"/>
        <v>1</v>
      </c>
      <c r="AG6" t="b">
        <f t="shared" si="0"/>
        <v>1</v>
      </c>
    </row>
    <row r="7" spans="1:33" x14ac:dyDescent="0.2">
      <c r="A7" t="s">
        <v>9</v>
      </c>
      <c r="B7">
        <v>12</v>
      </c>
      <c r="C7">
        <v>14</v>
      </c>
      <c r="F7" t="s">
        <v>53</v>
      </c>
      <c r="G7" t="s">
        <v>53</v>
      </c>
      <c r="H7" t="s">
        <v>53</v>
      </c>
      <c r="M7" t="s">
        <v>53</v>
      </c>
      <c r="N7" t="s">
        <v>53</v>
      </c>
      <c r="O7" t="s">
        <v>53</v>
      </c>
      <c r="Q7" t="s">
        <v>53</v>
      </c>
      <c r="R7" t="s">
        <v>53</v>
      </c>
      <c r="S7" t="s">
        <v>43</v>
      </c>
      <c r="T7" t="s">
        <v>53</v>
      </c>
      <c r="U7" t="s">
        <v>43</v>
      </c>
      <c r="V7" t="s">
        <v>53</v>
      </c>
      <c r="Y7" t="s">
        <v>53</v>
      </c>
      <c r="AA7" t="s">
        <v>53</v>
      </c>
      <c r="AB7" cm="1">
        <f t="array" ref="AB7">SUM(IF("X" = F7:AA7, 1, 0))</f>
        <v>12</v>
      </c>
      <c r="AC7" cm="1">
        <f t="array" ref="AC7">SUM(IF("?" = F7:AA7, 1, 0)) + AB7</f>
        <v>14</v>
      </c>
      <c r="AF7" t="b">
        <f t="shared" si="0"/>
        <v>1</v>
      </c>
      <c r="AG7" t="b">
        <f t="shared" si="0"/>
        <v>1</v>
      </c>
    </row>
    <row r="8" spans="1:33" x14ac:dyDescent="0.2">
      <c r="A8" s="8" t="s">
        <v>10</v>
      </c>
      <c r="B8">
        <v>17</v>
      </c>
      <c r="C8">
        <v>18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M8" t="s">
        <v>53</v>
      </c>
      <c r="N8" t="s">
        <v>53</v>
      </c>
      <c r="O8" t="s">
        <v>43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W8" t="s">
        <v>53</v>
      </c>
      <c r="Z8" t="s">
        <v>53</v>
      </c>
      <c r="AA8" t="s">
        <v>53</v>
      </c>
      <c r="AB8" cm="1">
        <f t="array" ref="AB8">SUM(IF("X" = F8:AA8, 1, 0))</f>
        <v>17</v>
      </c>
      <c r="AC8" cm="1">
        <f t="array" ref="AC8">SUM(IF("?" = F8:AA8, 1, 0)) + AB8</f>
        <v>18</v>
      </c>
      <c r="AF8" t="b">
        <f t="shared" si="0"/>
        <v>1</v>
      </c>
      <c r="AG8" t="b">
        <f t="shared" si="0"/>
        <v>1</v>
      </c>
    </row>
    <row r="9" spans="1:33" x14ac:dyDescent="0.2">
      <c r="A9" s="9" t="s">
        <v>54</v>
      </c>
      <c r="B9">
        <v>16</v>
      </c>
      <c r="C9">
        <v>19</v>
      </c>
      <c r="F9" t="s">
        <v>53</v>
      </c>
      <c r="G9" t="s">
        <v>53</v>
      </c>
      <c r="H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43</v>
      </c>
      <c r="P9" t="s">
        <v>53</v>
      </c>
      <c r="Q9" t="s">
        <v>53</v>
      </c>
      <c r="R9" t="s">
        <v>53</v>
      </c>
      <c r="S9" t="s">
        <v>43</v>
      </c>
      <c r="T9" t="s">
        <v>53</v>
      </c>
      <c r="U9" t="s">
        <v>53</v>
      </c>
      <c r="W9" t="s">
        <v>53</v>
      </c>
      <c r="X9" t="s">
        <v>53</v>
      </c>
      <c r="Y9" t="s">
        <v>53</v>
      </c>
      <c r="AA9" t="s">
        <v>43</v>
      </c>
      <c r="AB9" cm="1">
        <f t="array" ref="AB9">SUM(IF("X" = F9:AA9, 1, 0))</f>
        <v>16</v>
      </c>
      <c r="AC9" cm="1">
        <f t="array" ref="AC9">SUM(IF("?" = F9:AA9, 1, 0)) + AB9</f>
        <v>19</v>
      </c>
      <c r="AF9" t="b">
        <f t="shared" si="0"/>
        <v>1</v>
      </c>
      <c r="AG9" t="b">
        <f t="shared" si="0"/>
        <v>1</v>
      </c>
    </row>
    <row r="10" spans="1:33" x14ac:dyDescent="0.2">
      <c r="A10" t="s">
        <v>11</v>
      </c>
      <c r="B10">
        <v>14</v>
      </c>
      <c r="C10">
        <v>15</v>
      </c>
      <c r="F10" t="s">
        <v>53</v>
      </c>
      <c r="G10" t="s">
        <v>53</v>
      </c>
      <c r="H10" t="s">
        <v>53</v>
      </c>
      <c r="J10" t="s">
        <v>53</v>
      </c>
      <c r="K10" t="s">
        <v>53</v>
      </c>
      <c r="M10" t="s">
        <v>53</v>
      </c>
      <c r="Q10" t="s">
        <v>53</v>
      </c>
      <c r="R10" t="s">
        <v>53</v>
      </c>
      <c r="S10" t="s">
        <v>43</v>
      </c>
      <c r="T10" t="s">
        <v>53</v>
      </c>
      <c r="U10" t="s">
        <v>53</v>
      </c>
      <c r="W10" t="s">
        <v>53</v>
      </c>
      <c r="X10" t="s">
        <v>53</v>
      </c>
      <c r="Z10" t="s">
        <v>53</v>
      </c>
      <c r="AA10" t="s">
        <v>53</v>
      </c>
      <c r="AB10" cm="1">
        <f t="array" ref="AB10">SUM(IF("X" = F10:AA10, 1, 0))</f>
        <v>14</v>
      </c>
      <c r="AC10" cm="1">
        <f t="array" ref="AC10">SUM(IF("?" = F10:AA10, 1, 0)) + AB10</f>
        <v>15</v>
      </c>
      <c r="AF10" t="b">
        <f t="shared" si="0"/>
        <v>1</v>
      </c>
      <c r="AG10" t="b">
        <f t="shared" si="0"/>
        <v>1</v>
      </c>
    </row>
    <row r="11" spans="1:33" x14ac:dyDescent="0.2">
      <c r="A11" s="9" t="s">
        <v>12</v>
      </c>
      <c r="B11">
        <v>15</v>
      </c>
      <c r="C11">
        <v>17</v>
      </c>
      <c r="F11" t="s">
        <v>53</v>
      </c>
      <c r="G11" t="s">
        <v>53</v>
      </c>
      <c r="H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Q11" t="s">
        <v>53</v>
      </c>
      <c r="R11" t="s">
        <v>53</v>
      </c>
      <c r="S11" t="s">
        <v>43</v>
      </c>
      <c r="T11" t="s">
        <v>53</v>
      </c>
      <c r="U11" t="s">
        <v>53</v>
      </c>
      <c r="V11" t="s">
        <v>53</v>
      </c>
      <c r="W11" t="s">
        <v>53</v>
      </c>
      <c r="AA11" t="s">
        <v>43</v>
      </c>
      <c r="AB11" cm="1">
        <f t="array" ref="AB11">SUM(IF("X" = F11:AA11, 1, 0))</f>
        <v>15</v>
      </c>
      <c r="AC11" cm="1">
        <f t="array" ref="AC11">SUM(IF("?" = F11:AA11, 1, 0)) + AB11</f>
        <v>17</v>
      </c>
      <c r="AF11" t="b">
        <f t="shared" si="0"/>
        <v>1</v>
      </c>
      <c r="AG11" t="b">
        <f t="shared" si="0"/>
        <v>1</v>
      </c>
    </row>
    <row r="12" spans="1:33" x14ac:dyDescent="0.2">
      <c r="A12" s="9" t="s">
        <v>13</v>
      </c>
      <c r="B12">
        <v>13</v>
      </c>
      <c r="C12">
        <v>17</v>
      </c>
      <c r="F12" t="s">
        <v>53</v>
      </c>
      <c r="G12" t="s">
        <v>53</v>
      </c>
      <c r="I12" t="s">
        <v>53</v>
      </c>
      <c r="J12" t="s">
        <v>43</v>
      </c>
      <c r="K12" t="s">
        <v>53</v>
      </c>
      <c r="L12" t="s">
        <v>53</v>
      </c>
      <c r="M12" t="s">
        <v>53</v>
      </c>
      <c r="N12" t="s">
        <v>53</v>
      </c>
      <c r="P12" t="s">
        <v>53</v>
      </c>
      <c r="Q12" t="s">
        <v>53</v>
      </c>
      <c r="R12" t="s">
        <v>53</v>
      </c>
      <c r="S12" t="s">
        <v>43</v>
      </c>
      <c r="T12" t="s">
        <v>53</v>
      </c>
      <c r="U12" t="s">
        <v>53</v>
      </c>
      <c r="W12" t="s">
        <v>53</v>
      </c>
      <c r="Z12" t="s">
        <v>43</v>
      </c>
      <c r="AA12" t="s">
        <v>43</v>
      </c>
      <c r="AB12" cm="1">
        <f t="array" ref="AB12">SUM(IF("X" = F12:AA12, 1, 0))</f>
        <v>13</v>
      </c>
      <c r="AC12" cm="1">
        <f t="array" ref="AC12">SUM(IF("?" = F12:AA12, 1, 0)) + AB12</f>
        <v>17</v>
      </c>
      <c r="AF12" t="b">
        <f t="shared" si="0"/>
        <v>1</v>
      </c>
      <c r="AG12" t="b">
        <f t="shared" si="0"/>
        <v>1</v>
      </c>
    </row>
    <row r="13" spans="1:33" x14ac:dyDescent="0.2">
      <c r="A13" t="s">
        <v>57</v>
      </c>
      <c r="B13">
        <v>13</v>
      </c>
      <c r="C13">
        <v>15</v>
      </c>
      <c r="F13" t="s">
        <v>53</v>
      </c>
      <c r="G13" t="s">
        <v>53</v>
      </c>
      <c r="J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43</v>
      </c>
      <c r="T13" t="s">
        <v>53</v>
      </c>
      <c r="U13" t="s">
        <v>53</v>
      </c>
      <c r="V13" t="s">
        <v>53</v>
      </c>
      <c r="Y13" t="s">
        <v>53</v>
      </c>
      <c r="AA13" t="s">
        <v>43</v>
      </c>
      <c r="AB13" cm="1">
        <f t="array" ref="AB13">SUM(IF("X" = F13:AA13, 1, 0))</f>
        <v>13</v>
      </c>
      <c r="AC13" cm="1">
        <f t="array" ref="AC13">SUM(IF("?" = F13:AA13, 1, 0)) + AB13</f>
        <v>15</v>
      </c>
      <c r="AF13" t="b">
        <f t="shared" si="0"/>
        <v>1</v>
      </c>
      <c r="AG13" t="b">
        <f t="shared" si="0"/>
        <v>1</v>
      </c>
    </row>
    <row r="14" spans="1:33" x14ac:dyDescent="0.2">
      <c r="A14" t="s">
        <v>14</v>
      </c>
      <c r="B14">
        <v>13</v>
      </c>
      <c r="C14">
        <v>15</v>
      </c>
      <c r="F14" t="s">
        <v>53</v>
      </c>
      <c r="G14" t="s">
        <v>53</v>
      </c>
      <c r="J14" t="s">
        <v>53</v>
      </c>
      <c r="K14" t="s">
        <v>53</v>
      </c>
      <c r="N14" t="s">
        <v>53</v>
      </c>
      <c r="O14" t="s">
        <v>43</v>
      </c>
      <c r="P14" t="s">
        <v>53</v>
      </c>
      <c r="Q14" t="s">
        <v>53</v>
      </c>
      <c r="R14" t="s">
        <v>53</v>
      </c>
      <c r="T14" t="s">
        <v>53</v>
      </c>
      <c r="U14" t="s">
        <v>53</v>
      </c>
      <c r="W14" t="s">
        <v>53</v>
      </c>
      <c r="X14" t="s">
        <v>53</v>
      </c>
      <c r="Y14" t="s">
        <v>53</v>
      </c>
      <c r="AA14" t="s">
        <v>43</v>
      </c>
      <c r="AB14" cm="1">
        <f t="array" ref="AB14">SUM(IF("X" = F14:AA14, 1, 0))</f>
        <v>13</v>
      </c>
      <c r="AC14" cm="1">
        <f t="array" ref="AC14">SUM(IF("?" = F14:AA14, 1, 0)) + AB14</f>
        <v>15</v>
      </c>
      <c r="AF14" t="b">
        <f t="shared" si="0"/>
        <v>1</v>
      </c>
      <c r="AG14" t="b">
        <f t="shared" si="0"/>
        <v>1</v>
      </c>
    </row>
    <row r="15" spans="1:33" x14ac:dyDescent="0.2">
      <c r="A15" s="9" t="s">
        <v>15</v>
      </c>
      <c r="B15">
        <v>14</v>
      </c>
      <c r="C15">
        <v>17</v>
      </c>
      <c r="F15" t="s">
        <v>53</v>
      </c>
      <c r="G15" t="s">
        <v>53</v>
      </c>
      <c r="H15" t="s">
        <v>53</v>
      </c>
      <c r="I15" t="s">
        <v>53</v>
      </c>
      <c r="K15" t="s">
        <v>53</v>
      </c>
      <c r="M15" t="s">
        <v>53</v>
      </c>
      <c r="N15" t="s">
        <v>53</v>
      </c>
      <c r="O15" t="s">
        <v>43</v>
      </c>
      <c r="P15" t="s">
        <v>53</v>
      </c>
      <c r="Q15" t="s">
        <v>53</v>
      </c>
      <c r="R15" t="s">
        <v>53</v>
      </c>
      <c r="T15" t="s">
        <v>53</v>
      </c>
      <c r="U15" t="s">
        <v>53</v>
      </c>
      <c r="V15" t="s">
        <v>43</v>
      </c>
      <c r="W15" t="s">
        <v>53</v>
      </c>
      <c r="Y15" t="s">
        <v>53</v>
      </c>
      <c r="AA15" t="s">
        <v>43</v>
      </c>
      <c r="AB15" cm="1">
        <f t="array" ref="AB15">SUM(IF("X" = F15:AA15, 1, 0))</f>
        <v>14</v>
      </c>
      <c r="AC15" cm="1">
        <f t="array" ref="AC15">SUM(IF("?" = F15:AA15, 1, 0)) + AB15</f>
        <v>17</v>
      </c>
      <c r="AF15" t="b">
        <f t="shared" si="0"/>
        <v>1</v>
      </c>
      <c r="AG15" t="b">
        <f t="shared" si="0"/>
        <v>1</v>
      </c>
    </row>
    <row r="16" spans="1:33" x14ac:dyDescent="0.2">
      <c r="A16" t="s">
        <v>16</v>
      </c>
      <c r="B16">
        <v>12</v>
      </c>
      <c r="C16">
        <v>14</v>
      </c>
      <c r="F16" t="s">
        <v>53</v>
      </c>
      <c r="G16" t="s">
        <v>53</v>
      </c>
      <c r="J16" t="s">
        <v>53</v>
      </c>
      <c r="M16" t="s">
        <v>53</v>
      </c>
      <c r="N16" t="s">
        <v>53</v>
      </c>
      <c r="O16" t="s">
        <v>43</v>
      </c>
      <c r="P16" t="s">
        <v>53</v>
      </c>
      <c r="Q16" t="s">
        <v>53</v>
      </c>
      <c r="R16" t="s">
        <v>53</v>
      </c>
      <c r="S16" t="s">
        <v>43</v>
      </c>
      <c r="T16" t="s">
        <v>53</v>
      </c>
      <c r="U16" t="s">
        <v>53</v>
      </c>
      <c r="W16" t="s">
        <v>53</v>
      </c>
      <c r="AA16" t="s">
        <v>53</v>
      </c>
      <c r="AB16" cm="1">
        <f t="array" ref="AB16">SUM(IF("X" = F16:AA16, 1, 0))</f>
        <v>12</v>
      </c>
      <c r="AC16" cm="1">
        <f t="array" ref="AC16">SUM(IF("?" = F16:AA16, 1, 0)) + AB16</f>
        <v>14</v>
      </c>
      <c r="AF16" t="b">
        <f t="shared" si="0"/>
        <v>1</v>
      </c>
      <c r="AG16" t="b">
        <f t="shared" si="0"/>
        <v>1</v>
      </c>
    </row>
    <row r="17" spans="1:33" x14ac:dyDescent="0.2">
      <c r="A17" t="s">
        <v>17</v>
      </c>
      <c r="B17">
        <v>12</v>
      </c>
      <c r="C17">
        <v>12</v>
      </c>
      <c r="G17" t="s">
        <v>53</v>
      </c>
      <c r="K17" t="s">
        <v>53</v>
      </c>
      <c r="M17" t="s">
        <v>53</v>
      </c>
      <c r="N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W17" t="s">
        <v>53</v>
      </c>
      <c r="Y17" t="s">
        <v>53</v>
      </c>
      <c r="AB17" cm="1">
        <f t="array" ref="AB17">SUM(IF("X" = F17:AA17, 1, 0))</f>
        <v>12</v>
      </c>
      <c r="AC17" cm="1">
        <f t="array" ref="AC17">SUM(IF("?" = F17:AA17, 1, 0)) + AB17</f>
        <v>12</v>
      </c>
      <c r="AF17" t="b">
        <f t="shared" si="0"/>
        <v>1</v>
      </c>
      <c r="AG17" t="b">
        <f t="shared" si="0"/>
        <v>1</v>
      </c>
    </row>
    <row r="18" spans="1:33" x14ac:dyDescent="0.2">
      <c r="A18" t="s">
        <v>18</v>
      </c>
      <c r="B18">
        <v>14</v>
      </c>
      <c r="C18">
        <v>15</v>
      </c>
      <c r="F18" t="s">
        <v>53</v>
      </c>
      <c r="G18" t="s">
        <v>53</v>
      </c>
      <c r="K18" t="s">
        <v>53</v>
      </c>
      <c r="L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43</v>
      </c>
      <c r="T18" t="s">
        <v>53</v>
      </c>
      <c r="U18" t="s">
        <v>53</v>
      </c>
      <c r="W18" t="s">
        <v>53</v>
      </c>
      <c r="Z18" t="s">
        <v>53</v>
      </c>
      <c r="AA18" t="s">
        <v>53</v>
      </c>
      <c r="AB18" cm="1">
        <f t="array" ref="AB18">SUM(IF("X" = F18:AA18, 1, 0))</f>
        <v>14</v>
      </c>
      <c r="AC18" cm="1">
        <f t="array" ref="AC18">SUM(IF("?" = F18:AA18, 1, 0)) + AB18</f>
        <v>15</v>
      </c>
      <c r="AF18" t="b">
        <f t="shared" si="0"/>
        <v>1</v>
      </c>
      <c r="AG18" t="b">
        <f t="shared" si="0"/>
        <v>1</v>
      </c>
    </row>
    <row r="19" spans="1:33" x14ac:dyDescent="0.2">
      <c r="A19" s="9" t="s">
        <v>19</v>
      </c>
      <c r="B19">
        <v>13</v>
      </c>
      <c r="C19">
        <v>17</v>
      </c>
      <c r="F19" t="s">
        <v>53</v>
      </c>
      <c r="G19" t="s">
        <v>53</v>
      </c>
      <c r="H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43</v>
      </c>
      <c r="P19" t="s">
        <v>53</v>
      </c>
      <c r="Q19" t="s">
        <v>53</v>
      </c>
      <c r="R19" t="s">
        <v>53</v>
      </c>
      <c r="S19" t="s">
        <v>43</v>
      </c>
      <c r="U19" t="s">
        <v>53</v>
      </c>
      <c r="V19" t="s">
        <v>43</v>
      </c>
      <c r="Y19" t="s">
        <v>53</v>
      </c>
      <c r="AA19" t="s">
        <v>43</v>
      </c>
      <c r="AB19" cm="1">
        <f t="array" ref="AB19">SUM(IF("X" = F19:AA19, 1, 0))</f>
        <v>13</v>
      </c>
      <c r="AC19" cm="1">
        <f t="array" ref="AC19">SUM(IF("?" = F19:AA19, 1, 0)) + AB19</f>
        <v>17</v>
      </c>
      <c r="AF19" t="b">
        <f t="shared" si="0"/>
        <v>1</v>
      </c>
      <c r="AG19" t="b">
        <f t="shared" si="0"/>
        <v>1</v>
      </c>
    </row>
    <row r="20" spans="1:33" x14ac:dyDescent="0.2">
      <c r="A20" s="9" t="s">
        <v>20</v>
      </c>
      <c r="B20">
        <v>15</v>
      </c>
      <c r="C20">
        <v>18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N20" t="s">
        <v>53</v>
      </c>
      <c r="O20" t="s">
        <v>43</v>
      </c>
      <c r="P20" t="s">
        <v>53</v>
      </c>
      <c r="Q20" t="s">
        <v>53</v>
      </c>
      <c r="R20" t="s">
        <v>53</v>
      </c>
      <c r="S20" t="s">
        <v>43</v>
      </c>
      <c r="T20" t="s">
        <v>53</v>
      </c>
      <c r="U20" t="s">
        <v>53</v>
      </c>
      <c r="V20" t="s">
        <v>53</v>
      </c>
      <c r="X20" t="s">
        <v>53</v>
      </c>
      <c r="AA20" t="s">
        <v>43</v>
      </c>
      <c r="AB20" cm="1">
        <f t="array" ref="AB20">SUM(IF("X" = F20:AA20, 1, 0))</f>
        <v>15</v>
      </c>
      <c r="AC20" cm="1">
        <f t="array" ref="AC20">SUM(IF("?" = F20:AA20, 1, 0)) + AB20</f>
        <v>18</v>
      </c>
      <c r="AF20" t="b">
        <f t="shared" si="0"/>
        <v>1</v>
      </c>
      <c r="AG20" t="b">
        <f t="shared" si="0"/>
        <v>1</v>
      </c>
    </row>
    <row r="21" spans="1:33" x14ac:dyDescent="0.2">
      <c r="A21" t="s">
        <v>21</v>
      </c>
      <c r="B21">
        <v>15</v>
      </c>
      <c r="C21">
        <v>16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M21" t="s">
        <v>53</v>
      </c>
      <c r="Q21" t="s">
        <v>53</v>
      </c>
      <c r="R21" t="s">
        <v>53</v>
      </c>
      <c r="S21" t="s">
        <v>43</v>
      </c>
      <c r="T21" t="s">
        <v>53</v>
      </c>
      <c r="U21" t="s">
        <v>53</v>
      </c>
      <c r="V21" t="s">
        <v>53</v>
      </c>
      <c r="W21" t="s">
        <v>53</v>
      </c>
      <c r="Y21" t="s">
        <v>53</v>
      </c>
      <c r="AA21" t="s">
        <v>53</v>
      </c>
      <c r="AB21" cm="1">
        <f t="array" ref="AB21">SUM(IF("X" = F21:AA21, 1, 0))</f>
        <v>15</v>
      </c>
      <c r="AC21" cm="1">
        <f t="array" ref="AC21">SUM(IF("?" = F21:AA21, 1, 0)) + AB21</f>
        <v>16</v>
      </c>
      <c r="AF21" t="b">
        <f t="shared" si="0"/>
        <v>1</v>
      </c>
      <c r="AG21" t="b">
        <f t="shared" si="0"/>
        <v>1</v>
      </c>
    </row>
    <row r="22" spans="1:33" x14ac:dyDescent="0.2">
      <c r="A22" t="s">
        <v>22</v>
      </c>
      <c r="B22">
        <v>14</v>
      </c>
      <c r="C22">
        <v>16</v>
      </c>
      <c r="F22" t="s">
        <v>53</v>
      </c>
      <c r="G22" t="s">
        <v>53</v>
      </c>
      <c r="K22" t="s">
        <v>53</v>
      </c>
      <c r="L22" t="s">
        <v>53</v>
      </c>
      <c r="N22" t="s">
        <v>53</v>
      </c>
      <c r="O22" t="s">
        <v>43</v>
      </c>
      <c r="P22" t="s">
        <v>53</v>
      </c>
      <c r="Q22" t="s">
        <v>53</v>
      </c>
      <c r="R22" t="s">
        <v>53</v>
      </c>
      <c r="T22" t="s">
        <v>53</v>
      </c>
      <c r="U22" t="s">
        <v>53</v>
      </c>
      <c r="V22" t="s">
        <v>53</v>
      </c>
      <c r="W22" t="s">
        <v>53</v>
      </c>
      <c r="Y22" t="s">
        <v>53</v>
      </c>
      <c r="Z22" t="s">
        <v>53</v>
      </c>
      <c r="AA22" t="s">
        <v>43</v>
      </c>
      <c r="AB22" cm="1">
        <f t="array" ref="AB22">SUM(IF("X" = F22:AA22, 1, 0))</f>
        <v>14</v>
      </c>
      <c r="AC22" cm="1">
        <f t="array" ref="AC22">SUM(IF("?" = F22:AA22, 1, 0)) + AB22</f>
        <v>16</v>
      </c>
      <c r="AF22" t="b">
        <f t="shared" si="0"/>
        <v>1</v>
      </c>
      <c r="AG22" t="b">
        <f t="shared" si="0"/>
        <v>1</v>
      </c>
    </row>
    <row r="23" spans="1:33" x14ac:dyDescent="0.2">
      <c r="A23" t="s">
        <v>23</v>
      </c>
      <c r="B23">
        <v>12</v>
      </c>
      <c r="C23">
        <v>14</v>
      </c>
      <c r="F23" t="s">
        <v>53</v>
      </c>
      <c r="G23" t="s">
        <v>53</v>
      </c>
      <c r="I23" t="s">
        <v>53</v>
      </c>
      <c r="J23" t="s">
        <v>43</v>
      </c>
      <c r="N23" t="s">
        <v>53</v>
      </c>
      <c r="P23" t="s">
        <v>53</v>
      </c>
      <c r="Q23" t="s">
        <v>53</v>
      </c>
      <c r="R23" t="s">
        <v>53</v>
      </c>
      <c r="T23" t="s">
        <v>53</v>
      </c>
      <c r="U23" t="s">
        <v>53</v>
      </c>
      <c r="V23" t="s">
        <v>53</v>
      </c>
      <c r="W23" t="s">
        <v>53</v>
      </c>
      <c r="Y23" t="s">
        <v>53</v>
      </c>
      <c r="AA23" t="s">
        <v>43</v>
      </c>
      <c r="AB23" cm="1">
        <f t="array" ref="AB23">SUM(IF("X" = F23:AA23, 1, 0))</f>
        <v>12</v>
      </c>
      <c r="AC23" cm="1">
        <f t="array" ref="AC23">SUM(IF("?" = F23:AA23, 1, 0)) + AB23</f>
        <v>14</v>
      </c>
      <c r="AF23" t="b">
        <f t="shared" si="0"/>
        <v>1</v>
      </c>
      <c r="AG23" t="b">
        <f t="shared" si="0"/>
        <v>1</v>
      </c>
    </row>
    <row r="24" spans="1:33" x14ac:dyDescent="0.2">
      <c r="A24" s="9" t="s">
        <v>24</v>
      </c>
      <c r="B24">
        <v>16</v>
      </c>
      <c r="C24">
        <v>18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M24" t="s">
        <v>53</v>
      </c>
      <c r="N24" t="s">
        <v>53</v>
      </c>
      <c r="O24" t="s">
        <v>53</v>
      </c>
      <c r="P24" t="s">
        <v>53</v>
      </c>
      <c r="R24" t="s">
        <v>53</v>
      </c>
      <c r="S24" t="s">
        <v>43</v>
      </c>
      <c r="T24" t="s">
        <v>53</v>
      </c>
      <c r="U24" t="s">
        <v>53</v>
      </c>
      <c r="V24" t="s">
        <v>53</v>
      </c>
      <c r="W24" t="s">
        <v>53</v>
      </c>
      <c r="Y24" t="s">
        <v>53</v>
      </c>
      <c r="AA24" t="s">
        <v>43</v>
      </c>
      <c r="AB24" cm="1">
        <f t="array" ref="AB24">SUM(IF("X" = F24:AA24, 1, 0))</f>
        <v>16</v>
      </c>
      <c r="AC24" cm="1">
        <f t="array" ref="AC24">SUM(IF("?" = F24:AA24, 1, 0)) + AB24</f>
        <v>18</v>
      </c>
      <c r="AF24" t="b">
        <f t="shared" si="0"/>
        <v>1</v>
      </c>
      <c r="AG24" t="b">
        <f t="shared" si="0"/>
        <v>1</v>
      </c>
    </row>
    <row r="25" spans="1:33" x14ac:dyDescent="0.2">
      <c r="A25" t="s">
        <v>25</v>
      </c>
      <c r="B25">
        <v>15</v>
      </c>
      <c r="C25">
        <v>16</v>
      </c>
      <c r="F25" t="s">
        <v>53</v>
      </c>
      <c r="G25" t="s">
        <v>53</v>
      </c>
      <c r="H25" t="s">
        <v>53</v>
      </c>
      <c r="J25" t="s">
        <v>53</v>
      </c>
      <c r="K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43</v>
      </c>
      <c r="T25" t="s">
        <v>53</v>
      </c>
      <c r="U25" t="s">
        <v>53</v>
      </c>
      <c r="V25" t="s">
        <v>53</v>
      </c>
      <c r="AA25" t="s">
        <v>53</v>
      </c>
      <c r="AB25" cm="1">
        <f t="array" ref="AB25">SUM(IF("X" = F25:AA25, 1, 0))</f>
        <v>15</v>
      </c>
      <c r="AC25" cm="1">
        <f t="array" ref="AC25">SUM(IF("?" = F25:AA25, 1, 0)) + AB25</f>
        <v>16</v>
      </c>
      <c r="AF25" t="b">
        <f t="shared" si="0"/>
        <v>1</v>
      </c>
      <c r="AG25" t="b">
        <f t="shared" si="0"/>
        <v>1</v>
      </c>
    </row>
    <row r="26" spans="1:33" x14ac:dyDescent="0.2">
      <c r="A26" t="s">
        <v>26</v>
      </c>
      <c r="B26">
        <v>15</v>
      </c>
      <c r="C26">
        <v>16</v>
      </c>
      <c r="F26" t="s">
        <v>53</v>
      </c>
      <c r="G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T26" t="s">
        <v>53</v>
      </c>
      <c r="U26" t="s">
        <v>53</v>
      </c>
      <c r="V26" t="s">
        <v>53</v>
      </c>
      <c r="W26" t="s">
        <v>53</v>
      </c>
      <c r="Z26" t="s">
        <v>53</v>
      </c>
      <c r="AA26" t="s">
        <v>43</v>
      </c>
      <c r="AB26" cm="1">
        <f t="array" ref="AB26">SUM(IF("X" = F26:AA26, 1, 0))</f>
        <v>15</v>
      </c>
      <c r="AC26" cm="1">
        <f t="array" ref="AC26">SUM(IF("?" = F26:AA26, 1, 0)) + AB26</f>
        <v>16</v>
      </c>
      <c r="AF26" t="b">
        <f t="shared" si="0"/>
        <v>1</v>
      </c>
      <c r="AG26" t="b">
        <f t="shared" si="0"/>
        <v>1</v>
      </c>
    </row>
    <row r="27" spans="1:33" x14ac:dyDescent="0.2">
      <c r="A27" t="s">
        <v>27</v>
      </c>
      <c r="B27">
        <v>12</v>
      </c>
      <c r="C27">
        <v>14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N27" t="s">
        <v>53</v>
      </c>
      <c r="O27" t="s">
        <v>53</v>
      </c>
      <c r="R27" t="s">
        <v>53</v>
      </c>
      <c r="S27" t="s">
        <v>43</v>
      </c>
      <c r="T27" t="s">
        <v>53</v>
      </c>
      <c r="U27" t="s">
        <v>43</v>
      </c>
      <c r="V27" t="s">
        <v>53</v>
      </c>
      <c r="W27" t="s">
        <v>53</v>
      </c>
      <c r="AA27" t="s">
        <v>53</v>
      </c>
      <c r="AB27" cm="1">
        <f t="array" ref="AB27">SUM(IF("X" = F27:AA27, 1, 0))</f>
        <v>12</v>
      </c>
      <c r="AC27" cm="1">
        <f t="array" ref="AC27">SUM(IF("?" = F27:AA27, 1, 0)) + AB27</f>
        <v>14</v>
      </c>
      <c r="AF27" t="b">
        <f t="shared" si="0"/>
        <v>1</v>
      </c>
      <c r="AG27" t="b">
        <f t="shared" si="0"/>
        <v>1</v>
      </c>
    </row>
    <row r="28" spans="1:33" x14ac:dyDescent="0.2">
      <c r="A28" t="s">
        <v>28</v>
      </c>
      <c r="B28">
        <v>12</v>
      </c>
      <c r="C28">
        <v>13</v>
      </c>
      <c r="F28" t="s">
        <v>53</v>
      </c>
      <c r="G28" t="s">
        <v>53</v>
      </c>
      <c r="H28" t="s">
        <v>53</v>
      </c>
      <c r="N28" t="s">
        <v>53</v>
      </c>
      <c r="O28" t="s">
        <v>53</v>
      </c>
      <c r="P28" t="s">
        <v>53</v>
      </c>
      <c r="R28" t="s">
        <v>53</v>
      </c>
      <c r="S28" t="s">
        <v>43</v>
      </c>
      <c r="T28" t="s">
        <v>53</v>
      </c>
      <c r="U28" t="s">
        <v>53</v>
      </c>
      <c r="V28" t="s">
        <v>53</v>
      </c>
      <c r="Y28" t="s">
        <v>53</v>
      </c>
      <c r="Z28" t="s">
        <v>53</v>
      </c>
      <c r="AB28" cm="1">
        <f t="array" ref="AB28">SUM(IF("X" = F28:AA28, 1, 0))</f>
        <v>12</v>
      </c>
      <c r="AC28" cm="1">
        <f t="array" ref="AC28">SUM(IF("?" = F28:AA28, 1, 0)) + AB28</f>
        <v>13</v>
      </c>
      <c r="AF28" t="b">
        <f t="shared" si="0"/>
        <v>1</v>
      </c>
      <c r="AG28" t="b">
        <f t="shared" si="0"/>
        <v>1</v>
      </c>
    </row>
    <row r="29" spans="1:33" x14ac:dyDescent="0.2">
      <c r="A29" s="8" t="s">
        <v>29</v>
      </c>
      <c r="B29">
        <v>19</v>
      </c>
      <c r="C29">
        <v>21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43</v>
      </c>
      <c r="T29" t="s">
        <v>53</v>
      </c>
      <c r="U29" t="s">
        <v>53</v>
      </c>
      <c r="V29" t="s">
        <v>53</v>
      </c>
      <c r="W29" t="s">
        <v>53</v>
      </c>
      <c r="Y29" t="s">
        <v>53</v>
      </c>
      <c r="Z29" t="s">
        <v>53</v>
      </c>
      <c r="AA29" t="s">
        <v>43</v>
      </c>
      <c r="AB29" cm="1">
        <f t="array" ref="AB29">SUM(IF("X" = F29:AA29, 1, 0))</f>
        <v>19</v>
      </c>
      <c r="AC29" cm="1">
        <f t="array" ref="AC29">SUM(IF("?" = F29:AA29, 1, 0)) + AB29</f>
        <v>21</v>
      </c>
      <c r="AF29" t="b">
        <f t="shared" si="0"/>
        <v>1</v>
      </c>
      <c r="AG29" t="b">
        <f t="shared" si="0"/>
        <v>1</v>
      </c>
    </row>
    <row r="30" spans="1:33" x14ac:dyDescent="0.2">
      <c r="A30" t="s">
        <v>30</v>
      </c>
      <c r="B30">
        <v>13</v>
      </c>
      <c r="C30">
        <v>15</v>
      </c>
      <c r="F30" t="s">
        <v>53</v>
      </c>
      <c r="G30" t="s">
        <v>53</v>
      </c>
      <c r="J30" t="s">
        <v>53</v>
      </c>
      <c r="N30" t="s">
        <v>53</v>
      </c>
      <c r="O30" t="s">
        <v>43</v>
      </c>
      <c r="P30" t="s">
        <v>53</v>
      </c>
      <c r="Q30" t="s">
        <v>53</v>
      </c>
      <c r="R30" t="s">
        <v>53</v>
      </c>
      <c r="S30" t="s">
        <v>43</v>
      </c>
      <c r="T30" t="s">
        <v>53</v>
      </c>
      <c r="U30" t="s">
        <v>53</v>
      </c>
      <c r="W30" t="s">
        <v>53</v>
      </c>
      <c r="Y30" t="s">
        <v>53</v>
      </c>
      <c r="Z30" t="s">
        <v>53</v>
      </c>
      <c r="AA30" t="s">
        <v>53</v>
      </c>
      <c r="AB30" cm="1">
        <f t="array" ref="AB30">SUM(IF("X" = F30:AA30, 1, 0))</f>
        <v>13</v>
      </c>
      <c r="AC30" cm="1">
        <f t="array" ref="AC30">SUM(IF("?" = F30:AA30, 1, 0)) + AB30</f>
        <v>15</v>
      </c>
      <c r="AF30" t="b">
        <f t="shared" si="0"/>
        <v>1</v>
      </c>
      <c r="AG30" t="b">
        <f t="shared" si="0"/>
        <v>1</v>
      </c>
    </row>
    <row r="31" spans="1:33" x14ac:dyDescent="0.2">
      <c r="A31" t="s">
        <v>31</v>
      </c>
      <c r="B31">
        <v>12</v>
      </c>
      <c r="C31">
        <v>14</v>
      </c>
      <c r="F31" t="s">
        <v>53</v>
      </c>
      <c r="G31" t="s">
        <v>53</v>
      </c>
      <c r="J31" t="s">
        <v>53</v>
      </c>
      <c r="N31" t="s">
        <v>53</v>
      </c>
      <c r="O31" t="s">
        <v>43</v>
      </c>
      <c r="P31" t="s">
        <v>53</v>
      </c>
      <c r="Q31" t="s">
        <v>53</v>
      </c>
      <c r="R31" t="s">
        <v>53</v>
      </c>
      <c r="S31" t="s">
        <v>43</v>
      </c>
      <c r="T31" t="s">
        <v>53</v>
      </c>
      <c r="U31" t="s">
        <v>53</v>
      </c>
      <c r="W31" t="s">
        <v>53</v>
      </c>
      <c r="Z31" t="s">
        <v>53</v>
      </c>
      <c r="AA31" t="s">
        <v>53</v>
      </c>
      <c r="AB31" cm="1">
        <f t="array" ref="AB31">SUM(IF("X" = F31:AA31, 1, 0))</f>
        <v>12</v>
      </c>
      <c r="AC31" cm="1">
        <f t="array" ref="AC31">SUM(IF("?" = F31:AA31, 1, 0)) + AB31</f>
        <v>14</v>
      </c>
      <c r="AF31" t="b">
        <f t="shared" si="0"/>
        <v>1</v>
      </c>
      <c r="AG31" t="b">
        <f t="shared" si="0"/>
        <v>1</v>
      </c>
    </row>
    <row r="32" spans="1:33" x14ac:dyDescent="0.2">
      <c r="A32" t="s">
        <v>32</v>
      </c>
      <c r="B32">
        <v>12</v>
      </c>
      <c r="C32">
        <v>14</v>
      </c>
      <c r="F32" t="s">
        <v>53</v>
      </c>
      <c r="G32" t="s">
        <v>53</v>
      </c>
      <c r="I32" t="s">
        <v>53</v>
      </c>
      <c r="M32" t="s">
        <v>53</v>
      </c>
      <c r="N32" t="s">
        <v>53</v>
      </c>
      <c r="O32" t="s">
        <v>43</v>
      </c>
      <c r="P32" t="s">
        <v>53</v>
      </c>
      <c r="R32" t="s">
        <v>53</v>
      </c>
      <c r="S32" t="s">
        <v>43</v>
      </c>
      <c r="T32" t="s">
        <v>53</v>
      </c>
      <c r="U32" t="s">
        <v>53</v>
      </c>
      <c r="W32" t="s">
        <v>53</v>
      </c>
      <c r="Z32" t="s">
        <v>53</v>
      </c>
      <c r="AA32" t="s">
        <v>53</v>
      </c>
      <c r="AB32" cm="1">
        <f t="array" ref="AB32">SUM(IF("X" = F32:AA32, 1, 0))</f>
        <v>12</v>
      </c>
      <c r="AC32" cm="1">
        <f t="array" ref="AC32">SUM(IF("?" = F32:AA32, 1, 0)) + AB32</f>
        <v>14</v>
      </c>
      <c r="AF32" t="b">
        <f t="shared" si="0"/>
        <v>1</v>
      </c>
      <c r="AG32" t="b">
        <f t="shared" si="0"/>
        <v>1</v>
      </c>
    </row>
    <row r="33" spans="1:33" x14ac:dyDescent="0.2">
      <c r="A33" t="s">
        <v>33</v>
      </c>
      <c r="B33">
        <v>15</v>
      </c>
      <c r="C33">
        <v>16</v>
      </c>
      <c r="F33" t="s">
        <v>53</v>
      </c>
      <c r="G33" t="s">
        <v>53</v>
      </c>
      <c r="I33" t="s">
        <v>53</v>
      </c>
      <c r="L33" t="s">
        <v>53</v>
      </c>
      <c r="M33" t="s">
        <v>53</v>
      </c>
      <c r="O33" t="s">
        <v>43</v>
      </c>
      <c r="P33" t="s">
        <v>53</v>
      </c>
      <c r="Q33" t="s">
        <v>53</v>
      </c>
      <c r="R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53</v>
      </c>
      <c r="AB33" cm="1">
        <f t="array" ref="AB33">SUM(IF("X" = F33:AA33, 1, 0))</f>
        <v>15</v>
      </c>
      <c r="AC33" cm="1">
        <f t="array" ref="AC33">SUM(IF("?" = F33:AA33, 1, 0)) + AB33</f>
        <v>16</v>
      </c>
      <c r="AF33" t="b">
        <f t="shared" si="0"/>
        <v>1</v>
      </c>
      <c r="AG33" t="b">
        <f t="shared" si="0"/>
        <v>1</v>
      </c>
    </row>
    <row r="34" spans="1:33" x14ac:dyDescent="0.2">
      <c r="A34">
        <f>COUNTA(A2:A33)</f>
        <v>32</v>
      </c>
      <c r="B34">
        <f>AVERAGE(B2:B33)</f>
        <v>14.0625</v>
      </c>
      <c r="C34">
        <f>AVERAGE(C2:C33)</f>
        <v>15.71875</v>
      </c>
    </row>
    <row r="35" spans="1:33" x14ac:dyDescent="0.2">
      <c r="B35">
        <f>B34/22</f>
        <v>0.63920454545454541</v>
      </c>
      <c r="C35">
        <f>C34/22</f>
        <v>0.71448863636363635</v>
      </c>
    </row>
    <row r="36" spans="1:33" x14ac:dyDescent="0.2">
      <c r="A36" t="s">
        <v>34</v>
      </c>
      <c r="B36">
        <v>21</v>
      </c>
      <c r="C36">
        <v>21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53</v>
      </c>
      <c r="AA36" t="s">
        <v>53</v>
      </c>
      <c r="AB36" cm="1">
        <f t="array" ref="AB36">SUM(IF("X" = F36:AA36, 1, 0))</f>
        <v>21</v>
      </c>
      <c r="AC36" cm="1">
        <f t="array" ref="AC36">SUM(IF("?" = F36:AA36, 1, 0)) + AB36</f>
        <v>21</v>
      </c>
      <c r="AF36" t="b">
        <f t="shared" ref="AF36:AG53" si="1">AB36=B36</f>
        <v>1</v>
      </c>
      <c r="AG36" t="b">
        <f t="shared" si="1"/>
        <v>1</v>
      </c>
    </row>
    <row r="37" spans="1:33" x14ac:dyDescent="0.2">
      <c r="A37" t="s">
        <v>35</v>
      </c>
      <c r="B37">
        <v>19</v>
      </c>
      <c r="C37">
        <v>20</v>
      </c>
      <c r="F37" t="s">
        <v>53</v>
      </c>
      <c r="G37" t="s">
        <v>53</v>
      </c>
      <c r="I37" t="s">
        <v>53</v>
      </c>
      <c r="J37" t="s">
        <v>53</v>
      </c>
      <c r="K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cm="1">
        <f t="array" ref="AB37">SUM(IF("X" = F37:AA37, 1, 0))</f>
        <v>20</v>
      </c>
      <c r="AC37" cm="1">
        <f t="array" ref="AC37">SUM(IF("?" = F37:AA37, 1, 0)) + AB37</f>
        <v>20</v>
      </c>
      <c r="AF37" t="b">
        <f t="shared" si="1"/>
        <v>0</v>
      </c>
      <c r="AG37" t="b">
        <f t="shared" si="1"/>
        <v>1</v>
      </c>
    </row>
    <row r="38" spans="1:33" x14ac:dyDescent="0.2">
      <c r="A38" t="s">
        <v>36</v>
      </c>
      <c r="B38">
        <v>18</v>
      </c>
      <c r="C38">
        <v>18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O38" t="s">
        <v>53</v>
      </c>
      <c r="P38" t="s">
        <v>53</v>
      </c>
      <c r="Q38" t="s">
        <v>53</v>
      </c>
      <c r="T38" t="s">
        <v>53</v>
      </c>
      <c r="U38" t="s">
        <v>53</v>
      </c>
      <c r="V38" t="s">
        <v>53</v>
      </c>
      <c r="W38" t="s">
        <v>53</v>
      </c>
      <c r="Y38" t="s">
        <v>53</v>
      </c>
      <c r="Z38" t="s">
        <v>53</v>
      </c>
      <c r="AA38" t="s">
        <v>53</v>
      </c>
      <c r="AB38" cm="1">
        <f t="array" ref="AB38">SUM(IF("X" = F38:AA38, 1, 0))</f>
        <v>18</v>
      </c>
      <c r="AC38" cm="1">
        <f t="array" ref="AC38">SUM(IF("?" = F38:AA38, 1, 0)) + AB38</f>
        <v>18</v>
      </c>
      <c r="AF38" t="b">
        <f t="shared" si="1"/>
        <v>1</v>
      </c>
      <c r="AG38" t="b">
        <f t="shared" si="1"/>
        <v>1</v>
      </c>
    </row>
    <row r="39" spans="1:33" x14ac:dyDescent="0.2">
      <c r="A39" t="s">
        <v>37</v>
      </c>
      <c r="B39">
        <v>17</v>
      </c>
      <c r="C39">
        <v>17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53</v>
      </c>
      <c r="AA39" t="s">
        <v>53</v>
      </c>
      <c r="AB39" cm="1">
        <f t="array" ref="AB39">SUM(IF("X" = F39:AA39, 1, 0))</f>
        <v>17</v>
      </c>
      <c r="AC39" cm="1">
        <f t="array" ref="AC39">SUM(IF("?" = F39:AA39, 1, 0)) + AB39</f>
        <v>17</v>
      </c>
      <c r="AF39" t="b">
        <f t="shared" si="1"/>
        <v>1</v>
      </c>
      <c r="AG39" t="b">
        <f t="shared" si="1"/>
        <v>1</v>
      </c>
    </row>
    <row r="40" spans="1:33" x14ac:dyDescent="0.2">
      <c r="A40" t="s">
        <v>38</v>
      </c>
      <c r="B40">
        <v>17</v>
      </c>
      <c r="C40">
        <v>18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W40" t="s">
        <v>53</v>
      </c>
      <c r="Y40" t="s">
        <v>53</v>
      </c>
      <c r="Z40" t="s">
        <v>53</v>
      </c>
      <c r="AA40" t="s">
        <v>53</v>
      </c>
      <c r="AB40" cm="1">
        <f t="array" ref="AB40">SUM(IF("X" = F40:AA40, 1, 0))</f>
        <v>18</v>
      </c>
      <c r="AC40" cm="1">
        <f t="array" ref="AC40">SUM(IF("?" = F40:AA40, 1, 0)) + AB40</f>
        <v>18</v>
      </c>
      <c r="AF40" t="b">
        <f t="shared" si="1"/>
        <v>0</v>
      </c>
      <c r="AG40" t="b">
        <f t="shared" si="1"/>
        <v>1</v>
      </c>
    </row>
    <row r="41" spans="1:33" x14ac:dyDescent="0.2">
      <c r="A41" t="s">
        <v>39</v>
      </c>
      <c r="B41">
        <v>15</v>
      </c>
      <c r="C41">
        <v>15</v>
      </c>
      <c r="F41" t="s">
        <v>53</v>
      </c>
      <c r="G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V41" t="s">
        <v>53</v>
      </c>
      <c r="W41" t="s">
        <v>53</v>
      </c>
      <c r="Y41" t="s">
        <v>53</v>
      </c>
      <c r="Z41" t="s">
        <v>53</v>
      </c>
      <c r="AA41" t="s">
        <v>53</v>
      </c>
      <c r="AB41" cm="1">
        <f t="array" ref="AB41">SUM(IF("X" = F41:AA41, 1, 0))</f>
        <v>15</v>
      </c>
      <c r="AC41" cm="1">
        <f t="array" ref="AC41">SUM(IF("?" = F41:AA41, 1, 0)) + AB41</f>
        <v>15</v>
      </c>
      <c r="AF41" t="b">
        <f t="shared" si="1"/>
        <v>1</v>
      </c>
      <c r="AG41" t="b">
        <f t="shared" si="1"/>
        <v>1</v>
      </c>
    </row>
    <row r="42" spans="1:33" x14ac:dyDescent="0.2">
      <c r="A42" t="s">
        <v>40</v>
      </c>
      <c r="B42">
        <v>14</v>
      </c>
      <c r="C42">
        <v>16</v>
      </c>
      <c r="F42" t="s">
        <v>53</v>
      </c>
      <c r="G42" t="s">
        <v>53</v>
      </c>
      <c r="J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53</v>
      </c>
      <c r="AA42" t="s">
        <v>53</v>
      </c>
      <c r="AB42" cm="1">
        <f t="array" ref="AB42">SUM(IF("X" = F42:AA42, 1, 0))</f>
        <v>16</v>
      </c>
      <c r="AC42" cm="1">
        <f t="array" ref="AC42">SUM(IF("?" = F42:AA42, 1, 0)) + AB42</f>
        <v>16</v>
      </c>
      <c r="AF42" t="b">
        <f t="shared" si="1"/>
        <v>0</v>
      </c>
      <c r="AG42" t="b">
        <f t="shared" si="1"/>
        <v>1</v>
      </c>
    </row>
    <row r="43" spans="1:33" x14ac:dyDescent="0.2">
      <c r="A43" t="s">
        <v>41</v>
      </c>
      <c r="B43">
        <v>13</v>
      </c>
      <c r="C43">
        <v>13</v>
      </c>
      <c r="F43" t="s">
        <v>53</v>
      </c>
      <c r="G43" t="s">
        <v>53</v>
      </c>
      <c r="J43" t="s">
        <v>53</v>
      </c>
      <c r="K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Y43" t="s">
        <v>53</v>
      </c>
      <c r="AA43" t="s">
        <v>53</v>
      </c>
      <c r="AB43" cm="1">
        <f t="array" ref="AB43">SUM(IF("X" = F43:AA43, 1, 0))</f>
        <v>13</v>
      </c>
      <c r="AC43" cm="1">
        <f t="array" ref="AC43">SUM(IF("?" = F43:AA43, 1, 0)) + AB43</f>
        <v>13</v>
      </c>
      <c r="AF43" t="b">
        <f t="shared" si="1"/>
        <v>1</v>
      </c>
      <c r="AG43" t="b">
        <f t="shared" si="1"/>
        <v>1</v>
      </c>
    </row>
    <row r="44" spans="1:33" x14ac:dyDescent="0.2">
      <c r="A44" t="s">
        <v>42</v>
      </c>
      <c r="B44">
        <v>12</v>
      </c>
      <c r="C44">
        <v>12</v>
      </c>
      <c r="D44" t="s">
        <v>43</v>
      </c>
      <c r="F44" t="s">
        <v>53</v>
      </c>
      <c r="J44" t="s">
        <v>53</v>
      </c>
      <c r="K44" t="s">
        <v>53</v>
      </c>
      <c r="L44" t="s">
        <v>53</v>
      </c>
      <c r="M44" t="s">
        <v>53</v>
      </c>
      <c r="P44" t="s">
        <v>53</v>
      </c>
      <c r="R44" t="s">
        <v>53</v>
      </c>
      <c r="U44" t="s">
        <v>53</v>
      </c>
      <c r="V44" t="s">
        <v>53</v>
      </c>
      <c r="W44" t="s">
        <v>53</v>
      </c>
      <c r="Z44" t="s">
        <v>53</v>
      </c>
      <c r="AA44" t="s">
        <v>53</v>
      </c>
      <c r="AB44" cm="1">
        <f t="array" ref="AB44">SUM(IF("X" = F44:AA44, 1, 0))</f>
        <v>12</v>
      </c>
      <c r="AC44" cm="1">
        <f t="array" ref="AC44">SUM(IF("?" = F44:AA44, 1, 0)) + AB44</f>
        <v>12</v>
      </c>
      <c r="AF44" t="b">
        <f t="shared" si="1"/>
        <v>1</v>
      </c>
      <c r="AG44" t="b">
        <f t="shared" si="1"/>
        <v>1</v>
      </c>
    </row>
    <row r="45" spans="1:33" x14ac:dyDescent="0.2">
      <c r="A45" t="s">
        <v>44</v>
      </c>
      <c r="B45">
        <v>19</v>
      </c>
      <c r="C45">
        <v>19</v>
      </c>
      <c r="F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R45" t="s">
        <v>53</v>
      </c>
      <c r="S45" t="s">
        <v>53</v>
      </c>
      <c r="T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53</v>
      </c>
      <c r="AA45" t="s">
        <v>53</v>
      </c>
      <c r="AB45" cm="1">
        <f t="array" ref="AB45">SUM(IF("X" = F45:AA45, 1, 0))</f>
        <v>19</v>
      </c>
      <c r="AC45" cm="1">
        <f t="array" ref="AC45">SUM(IF("?" = F45:AA45, 1, 0)) + AB45</f>
        <v>19</v>
      </c>
      <c r="AF45" t="b">
        <f t="shared" si="1"/>
        <v>1</v>
      </c>
      <c r="AG45" t="b">
        <f t="shared" si="1"/>
        <v>1</v>
      </c>
    </row>
    <row r="46" spans="1:33" x14ac:dyDescent="0.2">
      <c r="A46" t="s">
        <v>46</v>
      </c>
      <c r="B46">
        <v>15</v>
      </c>
      <c r="C46">
        <v>15</v>
      </c>
      <c r="F46" t="s">
        <v>53</v>
      </c>
      <c r="H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X46" t="s">
        <v>53</v>
      </c>
      <c r="AA46" t="s">
        <v>53</v>
      </c>
      <c r="AB46" cm="1">
        <f t="array" ref="AB46">SUM(IF("X" = F46:AA46, 1, 0))</f>
        <v>15</v>
      </c>
      <c r="AC46" cm="1">
        <f t="array" ref="AC46">SUM(IF("?" = F46:AA46, 1, 0)) + AB46</f>
        <v>15</v>
      </c>
      <c r="AF46" t="b">
        <f t="shared" si="1"/>
        <v>1</v>
      </c>
      <c r="AG46" t="b">
        <f t="shared" si="1"/>
        <v>1</v>
      </c>
    </row>
    <row r="47" spans="1:33" x14ac:dyDescent="0.2">
      <c r="A47" t="s">
        <v>47</v>
      </c>
      <c r="B47">
        <v>12</v>
      </c>
      <c r="C47">
        <v>12</v>
      </c>
      <c r="F47" t="s">
        <v>53</v>
      </c>
      <c r="G47" t="s">
        <v>53</v>
      </c>
      <c r="H47" t="s">
        <v>53</v>
      </c>
      <c r="I47" t="s">
        <v>53</v>
      </c>
      <c r="K47" t="s">
        <v>53</v>
      </c>
      <c r="L47" t="s">
        <v>53</v>
      </c>
      <c r="M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AB47" cm="1">
        <f t="array" ref="AB47">SUM(IF("X" = F47:AA47, 1, 0))</f>
        <v>12</v>
      </c>
      <c r="AC47" cm="1">
        <f t="array" ref="AC47">SUM(IF("?" = F47:AA47, 1, 0)) + AB47</f>
        <v>12</v>
      </c>
      <c r="AF47" t="b">
        <f t="shared" si="1"/>
        <v>1</v>
      </c>
      <c r="AG47" t="b">
        <f t="shared" si="1"/>
        <v>1</v>
      </c>
    </row>
    <row r="48" spans="1:33" x14ac:dyDescent="0.2">
      <c r="A48" t="s">
        <v>48</v>
      </c>
      <c r="B48">
        <v>20</v>
      </c>
      <c r="C48">
        <v>20</v>
      </c>
      <c r="F48" t="s">
        <v>53</v>
      </c>
      <c r="G48" t="s">
        <v>53</v>
      </c>
      <c r="H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53</v>
      </c>
      <c r="AA48" t="s">
        <v>53</v>
      </c>
      <c r="AB48" cm="1">
        <f t="array" ref="AB48">SUM(IF("X" = F48:AA48, 1, 0))</f>
        <v>20</v>
      </c>
      <c r="AC48" cm="1">
        <f t="array" ref="AC48">SUM(IF("?" = F48:AA48, 1, 0)) + AB48</f>
        <v>20</v>
      </c>
      <c r="AF48" t="b">
        <f t="shared" si="1"/>
        <v>1</v>
      </c>
      <c r="AG48" t="b">
        <f t="shared" si="1"/>
        <v>1</v>
      </c>
    </row>
    <row r="49" spans="1:33" x14ac:dyDescent="0.2">
      <c r="A49" t="s">
        <v>51</v>
      </c>
      <c r="B49">
        <v>19</v>
      </c>
      <c r="C49">
        <v>19</v>
      </c>
      <c r="F49" t="s">
        <v>53</v>
      </c>
      <c r="G49" t="s">
        <v>53</v>
      </c>
      <c r="I49" t="s">
        <v>53</v>
      </c>
      <c r="J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Y49" t="s">
        <v>53</v>
      </c>
      <c r="Z49" t="s">
        <v>53</v>
      </c>
      <c r="AA49" t="s">
        <v>53</v>
      </c>
      <c r="AB49" cm="1">
        <f t="array" ref="AB49">SUM(IF("X" = F49:AA49, 1, 0))</f>
        <v>19</v>
      </c>
      <c r="AC49" cm="1">
        <f t="array" ref="AC49">SUM(IF("?" = F49:AA49, 1, 0)) + AB49</f>
        <v>19</v>
      </c>
      <c r="AF49" t="b">
        <f t="shared" si="1"/>
        <v>1</v>
      </c>
      <c r="AG49" t="b">
        <f t="shared" si="1"/>
        <v>1</v>
      </c>
    </row>
    <row r="50" spans="1:33" x14ac:dyDescent="0.2">
      <c r="A50" t="s">
        <v>52</v>
      </c>
      <c r="B50">
        <v>14</v>
      </c>
      <c r="C50">
        <v>14</v>
      </c>
      <c r="F50" t="s">
        <v>53</v>
      </c>
      <c r="G50" t="s">
        <v>53</v>
      </c>
      <c r="K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W50" t="s">
        <v>53</v>
      </c>
      <c r="Z50" t="s">
        <v>53</v>
      </c>
      <c r="AA50" t="s">
        <v>53</v>
      </c>
      <c r="AB50" cm="1">
        <f t="array" ref="AB50">SUM(IF("X" = F50:AA50, 1, 0))</f>
        <v>14</v>
      </c>
      <c r="AC50" cm="1">
        <f t="array" ref="AC50">SUM(IF("?" = F50:AA50, 1, 0)) + AB50</f>
        <v>14</v>
      </c>
      <c r="AF50" t="b">
        <f t="shared" si="1"/>
        <v>1</v>
      </c>
      <c r="AG50" t="b">
        <f t="shared" si="1"/>
        <v>1</v>
      </c>
    </row>
    <row r="51" spans="1:33" x14ac:dyDescent="0.2">
      <c r="A51" t="s">
        <v>61</v>
      </c>
      <c r="B51">
        <v>18</v>
      </c>
      <c r="C51">
        <v>18</v>
      </c>
      <c r="F51" t="s">
        <v>53</v>
      </c>
      <c r="G51" t="s">
        <v>53</v>
      </c>
      <c r="I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53</v>
      </c>
      <c r="AB51" cm="1">
        <f t="array" ref="AB51">SUM(IF("X" = F51:AA51, 1, 0))</f>
        <v>18</v>
      </c>
      <c r="AC51" cm="1">
        <f t="array" ref="AC51">SUM(IF("?" = F51:AA51, 1, 0)) + AB51</f>
        <v>18</v>
      </c>
      <c r="AF51" t="b">
        <f t="shared" si="1"/>
        <v>1</v>
      </c>
      <c r="AG51" t="b">
        <f t="shared" si="1"/>
        <v>1</v>
      </c>
    </row>
    <row r="52" spans="1:33" x14ac:dyDescent="0.2">
      <c r="A52" t="s">
        <v>62</v>
      </c>
      <c r="B52">
        <v>17</v>
      </c>
      <c r="C52">
        <v>17</v>
      </c>
      <c r="F52" t="s">
        <v>53</v>
      </c>
      <c r="G52" t="s">
        <v>53</v>
      </c>
      <c r="H52" t="s">
        <v>53</v>
      </c>
      <c r="I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53</v>
      </c>
      <c r="AB52" cm="1">
        <f t="array" ref="AB52">SUM(IF("X" = F52:AA52, 1, 0))</f>
        <v>17</v>
      </c>
      <c r="AC52" cm="1">
        <f t="array" ref="AC52">SUM(IF("?" = F52:AA52, 1, 0)) + AB52</f>
        <v>17</v>
      </c>
      <c r="AF52" t="b">
        <f t="shared" si="1"/>
        <v>1</v>
      </c>
      <c r="AG52" t="b">
        <f t="shared" si="1"/>
        <v>1</v>
      </c>
    </row>
    <row r="53" spans="1:33" x14ac:dyDescent="0.2">
      <c r="A53" t="s">
        <v>63</v>
      </c>
      <c r="B53">
        <v>13</v>
      </c>
      <c r="C53">
        <v>13</v>
      </c>
      <c r="J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T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53</v>
      </c>
      <c r="AA53" t="s">
        <v>53</v>
      </c>
      <c r="AB53" cm="1">
        <f t="array" ref="AB53">SUM(IF("X" = F53:AA53, 1, 0))</f>
        <v>13</v>
      </c>
      <c r="AC53" cm="1">
        <f t="array" ref="AC53">SUM(IF("?" = F53:AA53, 1, 0)) + AB53</f>
        <v>13</v>
      </c>
      <c r="AF53" t="b">
        <f t="shared" si="1"/>
        <v>1</v>
      </c>
      <c r="AG53" t="b">
        <f t="shared" si="1"/>
        <v>1</v>
      </c>
    </row>
    <row r="54" spans="1:33" x14ac:dyDescent="0.2">
      <c r="B54">
        <f>AVERAGE(B36:B53)</f>
        <v>16.277777777777779</v>
      </c>
      <c r="C54">
        <f>AVERAGE(C36:C53)</f>
        <v>16.5</v>
      </c>
    </row>
    <row r="55" spans="1:33" x14ac:dyDescent="0.2">
      <c r="A55">
        <f>COUNTA(A36:A53)</f>
        <v>18</v>
      </c>
      <c r="B55">
        <f>B54/22</f>
        <v>0.73989898989898994</v>
      </c>
      <c r="C55">
        <f>C54/22</f>
        <v>0.75</v>
      </c>
    </row>
    <row r="56" spans="1:33" x14ac:dyDescent="0.2">
      <c r="E56" t="s">
        <v>59</v>
      </c>
      <c r="F56" cm="1">
        <f t="array" ref="F56">SUM(IF("X"=F2:F33,1, 0))</f>
        <v>28</v>
      </c>
      <c r="G56" cm="1">
        <f t="array" ref="G56">SUM(IF("X"=G2:G33,1, 0))</f>
        <v>31</v>
      </c>
      <c r="H56" cm="1">
        <f t="array" ref="H56">SUM(IF("X"=H2:H33,1, 0))</f>
        <v>15</v>
      </c>
      <c r="I56" cm="1">
        <f t="array" ref="I56">SUM(IF("X"=I2:I33,1, 0))</f>
        <v>15</v>
      </c>
      <c r="J56" cm="1">
        <f t="array" ref="J56">SUM(IF("X"=J2:J33,1, 0))</f>
        <v>19</v>
      </c>
      <c r="K56" cm="1">
        <f t="array" ref="K56">SUM(IF("X"=K2:K33,1, 0))</f>
        <v>21</v>
      </c>
      <c r="L56" cm="1">
        <f t="array" ref="L56">SUM(IF("X"=L2:L33,1, 0))</f>
        <v>14</v>
      </c>
      <c r="M56" cm="1">
        <f t="array" ref="M56">SUM(IF("X"=M2:M33,1, 0))</f>
        <v>22</v>
      </c>
      <c r="N56" cm="1">
        <f t="array" ref="N56">SUM(IF("X"=N2:N33,1, 0))</f>
        <v>26</v>
      </c>
      <c r="O56" cm="1">
        <f t="array" ref="O56">SUM(IF("X"=O2:O33,1, 0))</f>
        <v>14</v>
      </c>
      <c r="P56" cm="1">
        <f t="array" ref="P56">SUM(IF("X"=P2:P33,1, 0))</f>
        <v>26</v>
      </c>
      <c r="Q56" cm="1">
        <f t="array" ref="Q56">SUM(IF("X"=Q2:Q33,1, 0))</f>
        <v>26</v>
      </c>
      <c r="R56" cm="1">
        <f t="array" ref="R56">SUM(IF("X"=R2:R33,1, 0))</f>
        <v>31</v>
      </c>
      <c r="S56" cm="1">
        <f t="array" ref="S56">SUM(IF("X"=S2:S33,1, 0))</f>
        <v>3</v>
      </c>
      <c r="T56" cm="1">
        <f t="array" ref="T56">SUM(IF("X"=T2:T33,1, 0))</f>
        <v>31</v>
      </c>
      <c r="U56" cm="1">
        <f t="array" ref="U56">SUM(IF("X"=U2:U33,1, 0))</f>
        <v>29</v>
      </c>
      <c r="V56" cm="1">
        <f t="array" ref="V56">SUM(IF("X"=V2:V33,1, 0))</f>
        <v>17</v>
      </c>
      <c r="W56" cm="1">
        <f t="array" ref="W56">SUM(IF("X"=W2:W33,1, 0))</f>
        <v>26</v>
      </c>
      <c r="X56" cm="1">
        <f t="array" ref="X56">SUM(IF("X"=X2:X33,1, 0))</f>
        <v>8</v>
      </c>
      <c r="Y56" cm="1">
        <f t="array" ref="Y56">SUM(IF("X"=Y2:Y33,1, 0))</f>
        <v>20</v>
      </c>
      <c r="Z56" cm="1">
        <f t="array" ref="Z56">SUM(IF("X"=Z2:Z33,1, 0))</f>
        <v>13</v>
      </c>
      <c r="AA56" cm="1">
        <f t="array" ref="AA56">SUM(IF("X"=AA2:AA33,1, 0))</f>
        <v>15</v>
      </c>
    </row>
    <row r="57" spans="1:33" x14ac:dyDescent="0.2">
      <c r="F57" s="1">
        <f>F56/$A$34</f>
        <v>0.875</v>
      </c>
      <c r="G57" s="1">
        <f t="shared" ref="G57:AA57" si="2">G56/$A$34</f>
        <v>0.96875</v>
      </c>
      <c r="H57" s="1">
        <f t="shared" si="2"/>
        <v>0.46875</v>
      </c>
      <c r="I57" s="1">
        <f t="shared" si="2"/>
        <v>0.46875</v>
      </c>
      <c r="J57" s="1">
        <f t="shared" si="2"/>
        <v>0.59375</v>
      </c>
      <c r="K57" s="1">
        <f t="shared" si="2"/>
        <v>0.65625</v>
      </c>
      <c r="L57" s="1">
        <f t="shared" si="2"/>
        <v>0.4375</v>
      </c>
      <c r="M57" s="1">
        <f t="shared" si="2"/>
        <v>0.6875</v>
      </c>
      <c r="N57" s="1">
        <f t="shared" si="2"/>
        <v>0.8125</v>
      </c>
      <c r="O57" s="1">
        <f t="shared" si="2"/>
        <v>0.4375</v>
      </c>
      <c r="P57" s="1">
        <f t="shared" si="2"/>
        <v>0.8125</v>
      </c>
      <c r="Q57" s="1">
        <f t="shared" si="2"/>
        <v>0.8125</v>
      </c>
      <c r="R57" s="1">
        <f t="shared" si="2"/>
        <v>0.96875</v>
      </c>
      <c r="S57" s="1">
        <f t="shared" si="2"/>
        <v>9.375E-2</v>
      </c>
      <c r="T57" s="1">
        <f t="shared" si="2"/>
        <v>0.96875</v>
      </c>
      <c r="U57" s="1">
        <f t="shared" si="2"/>
        <v>0.90625</v>
      </c>
      <c r="V57" s="1">
        <f t="shared" si="2"/>
        <v>0.53125</v>
      </c>
      <c r="W57" s="1">
        <f t="shared" si="2"/>
        <v>0.8125</v>
      </c>
      <c r="X57" s="1">
        <f t="shared" si="2"/>
        <v>0.25</v>
      </c>
      <c r="Y57" s="1">
        <f t="shared" si="2"/>
        <v>0.625</v>
      </c>
      <c r="Z57" s="1">
        <f t="shared" si="2"/>
        <v>0.40625</v>
      </c>
      <c r="AA57" s="1">
        <f t="shared" si="2"/>
        <v>0.46875</v>
      </c>
    </row>
    <row r="58" spans="1:33" x14ac:dyDescent="0.2">
      <c r="H58" t="s">
        <v>53</v>
      </c>
      <c r="I58" t="s">
        <v>53</v>
      </c>
      <c r="L58" t="s">
        <v>53</v>
      </c>
      <c r="O58" t="s">
        <v>53</v>
      </c>
      <c r="S58" t="s">
        <v>53</v>
      </c>
      <c r="X58" t="s">
        <v>53</v>
      </c>
      <c r="Z58" t="s">
        <v>53</v>
      </c>
      <c r="AA58" t="s">
        <v>53</v>
      </c>
    </row>
    <row r="59" spans="1:33" x14ac:dyDescent="0.2">
      <c r="E59" t="s">
        <v>60</v>
      </c>
      <c r="F59" cm="1">
        <f t="array" ref="F59">SUM(IF("X"=F36:F53,1, 0))</f>
        <v>17</v>
      </c>
      <c r="G59" cm="1">
        <f t="array" ref="G59">SUM(IF("X"=G36:G53,1, 0))</f>
        <v>14</v>
      </c>
      <c r="H59" cm="1">
        <f t="array" ref="H59">SUM(IF("X"=H36:H53,1, 0))</f>
        <v>9</v>
      </c>
      <c r="I59" cm="1">
        <f t="array" ref="I59">SUM(IF("X"=I36:I53,1, 0))</f>
        <v>10</v>
      </c>
      <c r="J59" cm="1">
        <f t="array" ref="J59">SUM(IF("X"=J36:J53,1, 0))</f>
        <v>13</v>
      </c>
      <c r="K59" cm="1">
        <f t="array" ref="K59">SUM(IF("X"=K36:K53,1, 0))</f>
        <v>14</v>
      </c>
      <c r="L59" cm="1">
        <f t="array" ref="L59">SUM(IF("X"=L36:L53,1, 0))</f>
        <v>12</v>
      </c>
      <c r="M59" cm="1">
        <f t="array" ref="M59">SUM(IF("X"=M36:M53,1, 0))</f>
        <v>13</v>
      </c>
      <c r="N59" cm="1">
        <f t="array" ref="N59">SUM(IF("X"=N36:N53,1, 0))</f>
        <v>14</v>
      </c>
      <c r="O59" cm="1">
        <f t="array" ref="O59">SUM(IF("X"=O36:O53,1, 0))</f>
        <v>16</v>
      </c>
      <c r="P59" cm="1">
        <f t="array" ref="P59">SUM(IF("X"=P36:P53,1, 0))</f>
        <v>18</v>
      </c>
      <c r="Q59" cm="1">
        <f t="array" ref="Q59">SUM(IF("X"=Q36:Q53,1, 0))</f>
        <v>16</v>
      </c>
      <c r="R59" cm="1">
        <f t="array" ref="R59">SUM(IF("X"=R36:R53,1, 0))</f>
        <v>17</v>
      </c>
      <c r="S59" cm="1">
        <f t="array" ref="S59">SUM(IF("X"=S36:S53,1, 0))</f>
        <v>12</v>
      </c>
      <c r="T59" cm="1">
        <f t="array" ref="T59">SUM(IF("X"=T36:T53,1, 0))</f>
        <v>10</v>
      </c>
      <c r="U59" cm="1">
        <f t="array" ref="U59">SUM(IF("X"=U36:U53,1, 0))</f>
        <v>10</v>
      </c>
      <c r="V59" cm="1">
        <f t="array" ref="V59">SUM(IF("X"=V36:V53,1, 0))</f>
        <v>13</v>
      </c>
      <c r="W59" cm="1">
        <f t="array" ref="W59">SUM(IF("X"=W36:W53,1, 0))</f>
        <v>15</v>
      </c>
      <c r="X59" cm="1">
        <f t="array" ref="X59">SUM(IF("X"=X36:X53,1, 0))</f>
        <v>10</v>
      </c>
      <c r="Y59" cm="1">
        <f t="array" ref="Y59">SUM(IF("X"=Y36:Y53,1, 0))</f>
        <v>14</v>
      </c>
      <c r="Z59" cm="1">
        <f t="array" ref="Z59">SUM(IF("X"=Z36:Z53,1, 0))</f>
        <v>15</v>
      </c>
      <c r="AA59" cm="1">
        <f t="array" ref="AA59">SUM(IF("X"=AA36:AA53,1, 0))</f>
        <v>15</v>
      </c>
    </row>
    <row r="60" spans="1:33" x14ac:dyDescent="0.2">
      <c r="F60" s="1">
        <f>F59/$A$55</f>
        <v>0.94444444444444442</v>
      </c>
      <c r="G60" s="1">
        <f t="shared" ref="G60:AA60" si="3">G59/$A$55</f>
        <v>0.77777777777777779</v>
      </c>
      <c r="H60" s="1">
        <f t="shared" si="3"/>
        <v>0.5</v>
      </c>
      <c r="I60" s="1">
        <f t="shared" si="3"/>
        <v>0.55555555555555558</v>
      </c>
      <c r="J60" s="1">
        <f t="shared" si="3"/>
        <v>0.72222222222222221</v>
      </c>
      <c r="K60" s="1">
        <f t="shared" si="3"/>
        <v>0.77777777777777779</v>
      </c>
      <c r="L60" s="1">
        <f t="shared" si="3"/>
        <v>0.66666666666666663</v>
      </c>
      <c r="M60" s="1">
        <f t="shared" si="3"/>
        <v>0.72222222222222221</v>
      </c>
      <c r="N60" s="1">
        <f t="shared" si="3"/>
        <v>0.77777777777777779</v>
      </c>
      <c r="O60" s="1">
        <f t="shared" si="3"/>
        <v>0.88888888888888884</v>
      </c>
      <c r="P60" s="1">
        <f t="shared" si="3"/>
        <v>1</v>
      </c>
      <c r="Q60" s="1">
        <f t="shared" si="3"/>
        <v>0.88888888888888884</v>
      </c>
      <c r="R60" s="1">
        <f t="shared" si="3"/>
        <v>0.94444444444444442</v>
      </c>
      <c r="S60" s="1">
        <f t="shared" si="3"/>
        <v>0.66666666666666663</v>
      </c>
      <c r="T60" s="1">
        <f t="shared" si="3"/>
        <v>0.55555555555555558</v>
      </c>
      <c r="U60" s="1">
        <f t="shared" si="3"/>
        <v>0.55555555555555558</v>
      </c>
      <c r="V60" s="1">
        <f t="shared" si="3"/>
        <v>0.72222222222222221</v>
      </c>
      <c r="W60" s="1">
        <f t="shared" si="3"/>
        <v>0.83333333333333337</v>
      </c>
      <c r="X60" s="1">
        <f t="shared" si="3"/>
        <v>0.55555555555555558</v>
      </c>
      <c r="Y60" s="1">
        <f t="shared" si="3"/>
        <v>0.77777777777777779</v>
      </c>
      <c r="Z60" s="1">
        <f t="shared" si="3"/>
        <v>0.83333333333333337</v>
      </c>
      <c r="AA60" s="1">
        <f t="shared" si="3"/>
        <v>0.83333333333333337</v>
      </c>
    </row>
    <row r="62" spans="1:33" x14ac:dyDescent="0.2">
      <c r="A62" t="s">
        <v>58</v>
      </c>
      <c r="B62">
        <v>17</v>
      </c>
      <c r="C62">
        <v>21</v>
      </c>
      <c r="F62" t="s">
        <v>53</v>
      </c>
      <c r="G62" t="s">
        <v>53</v>
      </c>
      <c r="H62" t="s">
        <v>43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R62" t="s">
        <v>53</v>
      </c>
      <c r="S62" t="s">
        <v>43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53</v>
      </c>
      <c r="AA62" t="s">
        <v>53</v>
      </c>
      <c r="AB62" cm="1">
        <f t="array" ref="AB62">SUM(IF("X" = F62:AA62, 1, 0))</f>
        <v>19</v>
      </c>
      <c r="AC62" cm="1">
        <f t="array" ref="AC62">SUM(IF("?" = F62:AA62, 1, 0)) + AB62</f>
        <v>21</v>
      </c>
    </row>
    <row r="64" spans="1:33" x14ac:dyDescent="0.2">
      <c r="F64" s="1">
        <f>F60-F57</f>
        <v>6.944444444444442E-2</v>
      </c>
      <c r="G64" s="2">
        <f t="shared" ref="G64:AA64" si="4">G60-G57</f>
        <v>-0.19097222222222221</v>
      </c>
      <c r="H64" s="1">
        <f t="shared" si="4"/>
        <v>3.125E-2</v>
      </c>
      <c r="I64" s="1">
        <f t="shared" si="4"/>
        <v>8.680555555555558E-2</v>
      </c>
      <c r="J64" s="1">
        <f t="shared" si="4"/>
        <v>0.12847222222222221</v>
      </c>
      <c r="K64" s="1">
        <f t="shared" si="4"/>
        <v>0.12152777777777779</v>
      </c>
      <c r="L64" s="1">
        <f t="shared" si="4"/>
        <v>0.22916666666666663</v>
      </c>
      <c r="M64" s="1">
        <f t="shared" si="4"/>
        <v>3.472222222222221E-2</v>
      </c>
      <c r="N64" s="2">
        <f t="shared" si="4"/>
        <v>-3.472222222222221E-2</v>
      </c>
      <c r="O64" s="1">
        <f t="shared" si="4"/>
        <v>0.45138888888888884</v>
      </c>
      <c r="P64" s="1">
        <f t="shared" si="4"/>
        <v>0.1875</v>
      </c>
      <c r="Q64" s="1">
        <f t="shared" si="4"/>
        <v>7.638888888888884E-2</v>
      </c>
      <c r="R64" s="2">
        <f t="shared" si="4"/>
        <v>-2.430555555555558E-2</v>
      </c>
      <c r="S64" s="1">
        <f t="shared" si="4"/>
        <v>0.57291666666666663</v>
      </c>
      <c r="T64" s="2">
        <f t="shared" si="4"/>
        <v>-0.41319444444444442</v>
      </c>
      <c r="U64" s="2">
        <f t="shared" si="4"/>
        <v>-0.35069444444444442</v>
      </c>
      <c r="V64" s="1">
        <f t="shared" si="4"/>
        <v>0.19097222222222221</v>
      </c>
      <c r="W64" s="1">
        <f t="shared" si="4"/>
        <v>2.083333333333337E-2</v>
      </c>
      <c r="X64" s="1">
        <f t="shared" si="4"/>
        <v>0.30555555555555558</v>
      </c>
      <c r="Y64" s="1">
        <f t="shared" si="4"/>
        <v>0.15277777777777779</v>
      </c>
      <c r="Z64" s="1">
        <f t="shared" si="4"/>
        <v>0.42708333333333337</v>
      </c>
      <c r="AA64" s="1">
        <f t="shared" si="4"/>
        <v>0.36458333333333337</v>
      </c>
    </row>
    <row r="65" spans="6:29" x14ac:dyDescent="0.2">
      <c r="G65" t="s">
        <v>53</v>
      </c>
      <c r="N65" t="s">
        <v>53</v>
      </c>
      <c r="R65" t="s">
        <v>53</v>
      </c>
      <c r="T65" t="s">
        <v>53</v>
      </c>
      <c r="U65" t="s">
        <v>53</v>
      </c>
    </row>
    <row r="68" spans="6:29" x14ac:dyDescent="0.2">
      <c r="F68" s="6">
        <f>(F60/F57)</f>
        <v>1.0793650793650793</v>
      </c>
      <c r="G68" s="6">
        <f t="shared" ref="G68:AA68" si="5">(G60/G57)</f>
        <v>0.80286738351254483</v>
      </c>
      <c r="H68" s="6">
        <f t="shared" si="5"/>
        <v>1.0666666666666667</v>
      </c>
      <c r="I68" s="6">
        <f t="shared" si="5"/>
        <v>1.1851851851851853</v>
      </c>
      <c r="J68" s="6">
        <f t="shared" si="5"/>
        <v>1.2163742690058479</v>
      </c>
      <c r="K68" s="6">
        <f t="shared" si="5"/>
        <v>1.1851851851851851</v>
      </c>
      <c r="L68" s="6">
        <f t="shared" si="5"/>
        <v>1.5238095238095237</v>
      </c>
      <c r="M68" s="6">
        <f t="shared" si="5"/>
        <v>1.0505050505050504</v>
      </c>
      <c r="N68" s="6">
        <f t="shared" si="5"/>
        <v>0.95726495726495731</v>
      </c>
      <c r="O68" s="6">
        <f t="shared" si="5"/>
        <v>2.0317460317460316</v>
      </c>
      <c r="P68" s="6">
        <f t="shared" si="5"/>
        <v>1.2307692307692308</v>
      </c>
      <c r="Q68" s="6">
        <f t="shared" si="5"/>
        <v>1.0940170940170939</v>
      </c>
      <c r="R68" s="6">
        <f t="shared" si="5"/>
        <v>0.97491039426523296</v>
      </c>
      <c r="S68" s="6">
        <f t="shared" si="5"/>
        <v>7.1111111111111107</v>
      </c>
      <c r="T68" s="6">
        <f t="shared" si="5"/>
        <v>0.57347670250896055</v>
      </c>
      <c r="U68" s="6">
        <f t="shared" si="5"/>
        <v>0.61302681992337171</v>
      </c>
      <c r="V68" s="6">
        <f t="shared" si="5"/>
        <v>1.3594771241830066</v>
      </c>
      <c r="W68" s="6">
        <f t="shared" si="5"/>
        <v>1.0256410256410258</v>
      </c>
      <c r="X68" s="6">
        <f t="shared" si="5"/>
        <v>2.2222222222222223</v>
      </c>
      <c r="Y68" s="6">
        <f t="shared" si="5"/>
        <v>1.2444444444444445</v>
      </c>
      <c r="Z68" s="6">
        <f t="shared" si="5"/>
        <v>2.0512820512820515</v>
      </c>
      <c r="AA68" s="6">
        <f t="shared" si="5"/>
        <v>1.7777777777777779</v>
      </c>
      <c r="AC68">
        <f>PRODUCT((F68:AA68))</f>
        <v>226.90405830464974</v>
      </c>
    </row>
    <row r="70" spans="6:29" x14ac:dyDescent="0.2">
      <c r="F70">
        <f>((F56)/($A$34))/((F59)/($A$55))</f>
        <v>0.92647058823529416</v>
      </c>
      <c r="G70">
        <f t="shared" ref="G70:AA70" si="6">((G56)/($A$34))/((G59)/($A$55))</f>
        <v>1.2455357142857142</v>
      </c>
      <c r="H70">
        <f t="shared" si="6"/>
        <v>0.9375</v>
      </c>
      <c r="I70">
        <f t="shared" si="6"/>
        <v>0.84375</v>
      </c>
      <c r="J70">
        <f t="shared" si="6"/>
        <v>0.82211538461538458</v>
      </c>
      <c r="K70">
        <f t="shared" si="6"/>
        <v>0.84375</v>
      </c>
      <c r="L70">
        <f t="shared" si="6"/>
        <v>0.65625</v>
      </c>
      <c r="M70">
        <f t="shared" si="6"/>
        <v>0.95192307692307698</v>
      </c>
      <c r="N70">
        <f t="shared" si="6"/>
        <v>1.0446428571428572</v>
      </c>
      <c r="O70">
        <f t="shared" si="6"/>
        <v>0.4921875</v>
      </c>
      <c r="P70">
        <f t="shared" si="6"/>
        <v>0.8125</v>
      </c>
      <c r="Q70">
        <f t="shared" si="6"/>
        <v>0.9140625</v>
      </c>
      <c r="R70">
        <f t="shared" si="6"/>
        <v>1.0257352941176472</v>
      </c>
      <c r="S70">
        <f t="shared" si="6"/>
        <v>0.140625</v>
      </c>
      <c r="T70">
        <f t="shared" si="6"/>
        <v>1.7437499999999999</v>
      </c>
      <c r="U70">
        <f t="shared" si="6"/>
        <v>1.6312499999999999</v>
      </c>
      <c r="V70">
        <f t="shared" si="6"/>
        <v>0.73557692307692313</v>
      </c>
      <c r="W70">
        <f t="shared" si="6"/>
        <v>0.97499999999999998</v>
      </c>
      <c r="X70">
        <f t="shared" si="6"/>
        <v>0.44999999999999996</v>
      </c>
      <c r="Y70">
        <f t="shared" si="6"/>
        <v>0.8035714285714286</v>
      </c>
      <c r="Z70">
        <f t="shared" si="6"/>
        <v>0.48749999999999999</v>
      </c>
      <c r="AA70">
        <f t="shared" si="6"/>
        <v>0.5625</v>
      </c>
      <c r="AC70">
        <f>PRODUCT((F70:AA70))</f>
        <v>4.4071490279709458E-3</v>
      </c>
    </row>
    <row r="71" spans="6:29" x14ac:dyDescent="0.2">
      <c r="F71">
        <f>((F56+1)/($A$34+2))/((F59+1)/($A$55+2))</f>
        <v>0.94771241830065356</v>
      </c>
      <c r="G71">
        <f t="shared" ref="G71:AA71" si="7">((G56+1)/($A$34+2))/((G59+1)/($A$55+2))</f>
        <v>1.2549019607843137</v>
      </c>
      <c r="H71">
        <f t="shared" si="7"/>
        <v>0.94117647058823528</v>
      </c>
      <c r="I71">
        <f t="shared" si="7"/>
        <v>0.85561497326203195</v>
      </c>
      <c r="J71">
        <f t="shared" si="7"/>
        <v>0.84033613445378164</v>
      </c>
      <c r="K71">
        <f t="shared" si="7"/>
        <v>0.86274509803921573</v>
      </c>
      <c r="L71">
        <f t="shared" si="7"/>
        <v>0.67873303167420806</v>
      </c>
      <c r="M71">
        <f t="shared" si="7"/>
        <v>0.96638655462184886</v>
      </c>
      <c r="N71">
        <f t="shared" si="7"/>
        <v>1.0588235294117647</v>
      </c>
      <c r="O71">
        <f t="shared" si="7"/>
        <v>0.51903114186851207</v>
      </c>
      <c r="P71">
        <f t="shared" si="7"/>
        <v>0.83591331269349844</v>
      </c>
      <c r="Q71">
        <f t="shared" si="7"/>
        <v>0.93425605536332179</v>
      </c>
      <c r="R71">
        <f t="shared" si="7"/>
        <v>1.0457516339869282</v>
      </c>
      <c r="S71">
        <f t="shared" si="7"/>
        <v>0.18099547511312217</v>
      </c>
      <c r="T71">
        <f t="shared" si="7"/>
        <v>1.7112299465240639</v>
      </c>
      <c r="U71">
        <f t="shared" si="7"/>
        <v>1.6042780748663099</v>
      </c>
      <c r="V71">
        <f t="shared" si="7"/>
        <v>0.75630252100840345</v>
      </c>
      <c r="W71">
        <f t="shared" si="7"/>
        <v>0.99264705882352933</v>
      </c>
      <c r="X71">
        <f t="shared" si="7"/>
        <v>0.48128342245989303</v>
      </c>
      <c r="Y71">
        <f t="shared" si="7"/>
        <v>0.82352941176470595</v>
      </c>
      <c r="Z71">
        <f t="shared" si="7"/>
        <v>0.51470588235294112</v>
      </c>
      <c r="AA71">
        <f t="shared" si="7"/>
        <v>0.58823529411764697</v>
      </c>
      <c r="AC71">
        <f>PRODUCT((F71:AA71))</f>
        <v>9.1501939243413266E-3</v>
      </c>
    </row>
    <row r="74" spans="6:29" x14ac:dyDescent="0.2">
      <c r="F74">
        <f>1/((F59+1)/(F59+F56+2))</f>
        <v>2.6111111111111112</v>
      </c>
      <c r="G74">
        <f t="shared" ref="G74:Z74" si="8">1/((G59+1)/(G59+G56+2))</f>
        <v>3.1333333333333333</v>
      </c>
      <c r="H74">
        <f t="shared" si="8"/>
        <v>2.5999999999999996</v>
      </c>
      <c r="I74">
        <f t="shared" si="8"/>
        <v>2.4545454545454546</v>
      </c>
      <c r="J74">
        <f t="shared" si="8"/>
        <v>2.4285714285714288</v>
      </c>
      <c r="K74">
        <f t="shared" si="8"/>
        <v>2.4666666666666663</v>
      </c>
      <c r="L74">
        <f t="shared" si="8"/>
        <v>2.1538461538461537</v>
      </c>
      <c r="M74">
        <f t="shared" si="8"/>
        <v>2.6428571428571428</v>
      </c>
      <c r="N74">
        <f t="shared" si="8"/>
        <v>2.8</v>
      </c>
      <c r="O74">
        <f t="shared" si="8"/>
        <v>1.8823529411764706</v>
      </c>
      <c r="P74">
        <f t="shared" si="8"/>
        <v>2.4210526315789473</v>
      </c>
      <c r="Q74">
        <f t="shared" si="8"/>
        <v>2.5882352941176472</v>
      </c>
      <c r="R74">
        <f t="shared" si="8"/>
        <v>2.7777777777777777</v>
      </c>
      <c r="S74">
        <f t="shared" si="8"/>
        <v>1.3076923076923077</v>
      </c>
      <c r="T74">
        <f t="shared" si="8"/>
        <v>3.9090909090909087</v>
      </c>
      <c r="U74">
        <f t="shared" si="8"/>
        <v>3.7272727272727271</v>
      </c>
      <c r="V74">
        <f t="shared" si="8"/>
        <v>2.2857142857142856</v>
      </c>
      <c r="W74">
        <f t="shared" si="8"/>
        <v>2.6875</v>
      </c>
      <c r="X74">
        <f t="shared" si="8"/>
        <v>1.8181818181818181</v>
      </c>
      <c r="Y74">
        <f t="shared" si="8"/>
        <v>2.4</v>
      </c>
      <c r="Z74">
        <f t="shared" si="8"/>
        <v>1.875</v>
      </c>
      <c r="AA74">
        <f>1/((AA59+1)/(AA59+AA56+2))</f>
        <v>2</v>
      </c>
      <c r="AC74">
        <f>PRODUCT((F74:AA74))</f>
        <v>312833614.3782981</v>
      </c>
    </row>
    <row r="78" spans="6:29" x14ac:dyDescent="0.2">
      <c r="F78">
        <f ca="1">_xlfn.NORM.INV(RAND(),0,STDEV($F70:$AA70))</f>
        <v>0.10858814254316904</v>
      </c>
      <c r="G78">
        <f t="shared" ref="G78:AA79" ca="1" si="9">_xlfn.NORM.INV(RAND(),0,STDEV($F70:$AA70))</f>
        <v>-0.32571373381242902</v>
      </c>
      <c r="H78">
        <f t="shared" ca="1" si="9"/>
        <v>-4.1980409165179131E-2</v>
      </c>
      <c r="I78">
        <f t="shared" ca="1" si="9"/>
        <v>0.28694434788299811</v>
      </c>
      <c r="J78">
        <f t="shared" ca="1" si="9"/>
        <v>5.0351463311854867E-2</v>
      </c>
      <c r="K78">
        <f t="shared" ca="1" si="9"/>
        <v>-0.67358101205841814</v>
      </c>
      <c r="L78">
        <f t="shared" ca="1" si="9"/>
        <v>0.28385645234992041</v>
      </c>
      <c r="M78">
        <f t="shared" ca="1" si="9"/>
        <v>-0.36204494447459423</v>
      </c>
      <c r="N78">
        <f t="shared" ca="1" si="9"/>
        <v>-0.19044622427049984</v>
      </c>
      <c r="O78">
        <f t="shared" ca="1" si="9"/>
        <v>-0.2536127084992687</v>
      </c>
      <c r="P78">
        <f t="shared" ca="1" si="9"/>
        <v>0.32621212712380987</v>
      </c>
      <c r="Q78">
        <f t="shared" ca="1" si="9"/>
        <v>-0.16379608583210109</v>
      </c>
      <c r="R78">
        <f t="shared" ca="1" si="9"/>
        <v>-0.18897667535799281</v>
      </c>
      <c r="S78">
        <f t="shared" ca="1" si="9"/>
        <v>-0.27934522734437173</v>
      </c>
      <c r="T78">
        <f t="shared" ca="1" si="9"/>
        <v>-0.46070749857884902</v>
      </c>
      <c r="U78">
        <f t="shared" ca="1" si="9"/>
        <v>0.12428725667107766</v>
      </c>
      <c r="V78">
        <f t="shared" ca="1" si="9"/>
        <v>0.7368770106018433</v>
      </c>
      <c r="W78">
        <f t="shared" ca="1" si="9"/>
        <v>0.26958254318743152</v>
      </c>
      <c r="X78">
        <f t="shared" ca="1" si="9"/>
        <v>5.303645029259834E-2</v>
      </c>
      <c r="Y78">
        <f t="shared" ca="1" si="9"/>
        <v>-0.19171925836007761</v>
      </c>
      <c r="Z78">
        <f t="shared" ca="1" si="9"/>
        <v>0.35211768282544847</v>
      </c>
      <c r="AA78">
        <f t="shared" ca="1" si="9"/>
        <v>-0.35366942138056873</v>
      </c>
    </row>
    <row r="79" spans="6:29" x14ac:dyDescent="0.2">
      <c r="F79">
        <f ca="1">_xlfn.NORM.INV(RAND(),0,STDEV($F71:$AA71))</f>
        <v>0.18681493569081353</v>
      </c>
      <c r="G79">
        <f t="shared" ca="1" si="9"/>
        <v>4.1024952473435364E-2</v>
      </c>
      <c r="H79">
        <f t="shared" ca="1" si="9"/>
        <v>0.51673289512215181</v>
      </c>
      <c r="I79">
        <f t="shared" ca="1" si="9"/>
        <v>-0.53327351646486565</v>
      </c>
      <c r="J79">
        <f t="shared" ca="1" si="9"/>
        <v>-0.22083050599782303</v>
      </c>
      <c r="K79">
        <f t="shared" ca="1" si="9"/>
        <v>-2.7614996148380401E-2</v>
      </c>
      <c r="L79">
        <f t="shared" ca="1" si="9"/>
        <v>0.14331429620386088</v>
      </c>
      <c r="M79">
        <f t="shared" ca="1" si="9"/>
        <v>0.2371774256579543</v>
      </c>
      <c r="N79">
        <f t="shared" ca="1" si="9"/>
        <v>3.3775248292726101E-2</v>
      </c>
      <c r="O79">
        <f t="shared" ca="1" si="9"/>
        <v>0.63854944662420998</v>
      </c>
      <c r="P79">
        <f t="shared" ca="1" si="9"/>
        <v>0.13333226224410372</v>
      </c>
      <c r="Q79">
        <f t="shared" ca="1" si="9"/>
        <v>0.58122897059090106</v>
      </c>
      <c r="R79">
        <f t="shared" ca="1" si="9"/>
        <v>-0.15466760599783699</v>
      </c>
      <c r="S79">
        <f t="shared" ca="1" si="9"/>
        <v>-0.45977453346862673</v>
      </c>
      <c r="T79">
        <f t="shared" ca="1" si="9"/>
        <v>0.24356131400883763</v>
      </c>
      <c r="U79">
        <f t="shared" ca="1" si="9"/>
        <v>0.25595019146186226</v>
      </c>
      <c r="V79">
        <f t="shared" ca="1" si="9"/>
        <v>0.28412798634648939</v>
      </c>
      <c r="W79">
        <f t="shared" ca="1" si="9"/>
        <v>-4.275902514258003E-2</v>
      </c>
      <c r="X79">
        <f t="shared" ca="1" si="9"/>
        <v>-7.7107432690021224E-2</v>
      </c>
      <c r="Y79">
        <f t="shared" ca="1" si="9"/>
        <v>-2.6685006905461172E-2</v>
      </c>
      <c r="Z79">
        <f t="shared" ca="1" si="9"/>
        <v>-0.50393986625890852</v>
      </c>
      <c r="AA79">
        <f t="shared" ca="1" si="9"/>
        <v>-0.2230346292242317</v>
      </c>
    </row>
    <row r="81" spans="28:29" x14ac:dyDescent="0.2">
      <c r="AB81" t="s">
        <v>86</v>
      </c>
      <c r="AC81">
        <f ca="1">_xlfn.T.TEST(F70:AA70,F78:AA78,2,3)</f>
        <v>6.9756903483301808E-11</v>
      </c>
    </row>
    <row r="82" spans="28:29" x14ac:dyDescent="0.2">
      <c r="AC82">
        <f ca="1">_xlfn.T.TEST(F71:AA71,F79:AA79,2,3)</f>
        <v>2.3201144482534904E-10</v>
      </c>
    </row>
    <row r="109" spans="6:8" x14ac:dyDescent="0.2">
      <c r="F109">
        <f ca="1">_xlfn.NORM.INV(RAND(),0,STDEV($F$70:$AA$70))</f>
        <v>7.4191221032572183E-2</v>
      </c>
      <c r="H109">
        <f ca="1">_xlfn.T.TEST(F109:F342,F70:AA70,2,3)</f>
        <v>8.5772270837930222E-11</v>
      </c>
    </row>
    <row r="110" spans="6:8" x14ac:dyDescent="0.2">
      <c r="F110">
        <f t="shared" ref="F110:F173" ca="1" si="10">_xlfn.NORM.INV(RAND(),0,STDEV($F$70:$AA$70))</f>
        <v>0.49621839197448808</v>
      </c>
    </row>
    <row r="111" spans="6:8" x14ac:dyDescent="0.2">
      <c r="F111">
        <f t="shared" ca="1" si="10"/>
        <v>-0.35478474730336185</v>
      </c>
    </row>
    <row r="112" spans="6:8" x14ac:dyDescent="0.2">
      <c r="F112">
        <f t="shared" ca="1" si="10"/>
        <v>0.71189445321292577</v>
      </c>
    </row>
    <row r="113" spans="6:6" x14ac:dyDescent="0.2">
      <c r="F113">
        <f t="shared" ca="1" si="10"/>
        <v>-3.2537688624254948E-2</v>
      </c>
    </row>
    <row r="114" spans="6:6" x14ac:dyDescent="0.2">
      <c r="F114">
        <f t="shared" ca="1" si="10"/>
        <v>5.2633252536965547E-2</v>
      </c>
    </row>
    <row r="115" spans="6:6" x14ac:dyDescent="0.2">
      <c r="F115">
        <f t="shared" ca="1" si="10"/>
        <v>0.12847256155383513</v>
      </c>
    </row>
    <row r="116" spans="6:6" x14ac:dyDescent="0.2">
      <c r="F116">
        <f t="shared" ca="1" si="10"/>
        <v>0.18503639114193135</v>
      </c>
    </row>
    <row r="117" spans="6:6" x14ac:dyDescent="0.2">
      <c r="F117">
        <f t="shared" ca="1" si="10"/>
        <v>0.49277633459673287</v>
      </c>
    </row>
    <row r="118" spans="6:6" x14ac:dyDescent="0.2">
      <c r="F118">
        <f t="shared" ca="1" si="10"/>
        <v>0.21694480659529916</v>
      </c>
    </row>
    <row r="119" spans="6:6" x14ac:dyDescent="0.2">
      <c r="F119">
        <f t="shared" ca="1" si="10"/>
        <v>-0.44304088593758756</v>
      </c>
    </row>
    <row r="120" spans="6:6" x14ac:dyDescent="0.2">
      <c r="F120">
        <f t="shared" ca="1" si="10"/>
        <v>-0.20113366671812863</v>
      </c>
    </row>
    <row r="121" spans="6:6" x14ac:dyDescent="0.2">
      <c r="F121">
        <f t="shared" ca="1" si="10"/>
        <v>0.60932206664374711</v>
      </c>
    </row>
    <row r="122" spans="6:6" x14ac:dyDescent="0.2">
      <c r="F122">
        <f t="shared" ca="1" si="10"/>
        <v>-0.29637990416986176</v>
      </c>
    </row>
    <row r="123" spans="6:6" x14ac:dyDescent="0.2">
      <c r="F123">
        <f t="shared" ca="1" si="10"/>
        <v>-0.62389442809697082</v>
      </c>
    </row>
    <row r="124" spans="6:6" x14ac:dyDescent="0.2">
      <c r="F124">
        <f t="shared" ca="1" si="10"/>
        <v>-0.66949025965628095</v>
      </c>
    </row>
    <row r="125" spans="6:6" x14ac:dyDescent="0.2">
      <c r="F125">
        <f t="shared" ca="1" si="10"/>
        <v>-0.34081540398969856</v>
      </c>
    </row>
    <row r="126" spans="6:6" x14ac:dyDescent="0.2">
      <c r="F126">
        <f t="shared" ca="1" si="10"/>
        <v>-0.29918315113933441</v>
      </c>
    </row>
    <row r="127" spans="6:6" x14ac:dyDescent="0.2">
      <c r="F127">
        <f t="shared" ca="1" si="10"/>
        <v>-0.31435067842705045</v>
      </c>
    </row>
    <row r="128" spans="6:6" x14ac:dyDescent="0.2">
      <c r="F128">
        <f t="shared" ca="1" si="10"/>
        <v>-0.41633316378558094</v>
      </c>
    </row>
    <row r="129" spans="6:6" x14ac:dyDescent="0.2">
      <c r="F129">
        <f t="shared" ca="1" si="10"/>
        <v>5.605811673413412E-2</v>
      </c>
    </row>
    <row r="130" spans="6:6" x14ac:dyDescent="0.2">
      <c r="F130">
        <f t="shared" ca="1" si="10"/>
        <v>-0.18153859128556277</v>
      </c>
    </row>
    <row r="131" spans="6:6" x14ac:dyDescent="0.2">
      <c r="F131">
        <f t="shared" ca="1" si="10"/>
        <v>-6.4863711770425908E-2</v>
      </c>
    </row>
    <row r="132" spans="6:6" x14ac:dyDescent="0.2">
      <c r="F132">
        <f t="shared" ca="1" si="10"/>
        <v>-0.51022562745732458</v>
      </c>
    </row>
    <row r="133" spans="6:6" x14ac:dyDescent="0.2">
      <c r="F133">
        <f t="shared" ca="1" si="10"/>
        <v>-0.10281053957628311</v>
      </c>
    </row>
    <row r="134" spans="6:6" x14ac:dyDescent="0.2">
      <c r="F134">
        <f t="shared" ca="1" si="10"/>
        <v>7.6928689363818539E-2</v>
      </c>
    </row>
    <row r="135" spans="6:6" x14ac:dyDescent="0.2">
      <c r="F135">
        <f t="shared" ca="1" si="10"/>
        <v>0.28845548769906559</v>
      </c>
    </row>
    <row r="136" spans="6:6" x14ac:dyDescent="0.2">
      <c r="F136">
        <f t="shared" ca="1" si="10"/>
        <v>-0.58882533086783106</v>
      </c>
    </row>
    <row r="137" spans="6:6" x14ac:dyDescent="0.2">
      <c r="F137">
        <f t="shared" ca="1" si="10"/>
        <v>-0.23053298937947955</v>
      </c>
    </row>
    <row r="138" spans="6:6" x14ac:dyDescent="0.2">
      <c r="F138">
        <f t="shared" ca="1" si="10"/>
        <v>0.13080299060457248</v>
      </c>
    </row>
    <row r="139" spans="6:6" x14ac:dyDescent="0.2">
      <c r="F139">
        <f t="shared" ca="1" si="10"/>
        <v>-0.20992409126551537</v>
      </c>
    </row>
    <row r="140" spans="6:6" x14ac:dyDescent="0.2">
      <c r="F140">
        <f t="shared" ca="1" si="10"/>
        <v>-1.7974633647634741E-2</v>
      </c>
    </row>
    <row r="141" spans="6:6" x14ac:dyDescent="0.2">
      <c r="F141">
        <f t="shared" ca="1" si="10"/>
        <v>6.0409793098783804E-2</v>
      </c>
    </row>
    <row r="142" spans="6:6" x14ac:dyDescent="0.2">
      <c r="F142">
        <f t="shared" ca="1" si="10"/>
        <v>0.48225321755338896</v>
      </c>
    </row>
    <row r="143" spans="6:6" x14ac:dyDescent="0.2">
      <c r="F143">
        <f t="shared" ca="1" si="10"/>
        <v>0.1582706719766134</v>
      </c>
    </row>
    <row r="144" spans="6:6" x14ac:dyDescent="0.2">
      <c r="F144">
        <f t="shared" ca="1" si="10"/>
        <v>0.65654036956852924</v>
      </c>
    </row>
    <row r="145" spans="6:6" x14ac:dyDescent="0.2">
      <c r="F145">
        <f t="shared" ca="1" si="10"/>
        <v>0.10234970817823461</v>
      </c>
    </row>
    <row r="146" spans="6:6" x14ac:dyDescent="0.2">
      <c r="F146">
        <f t="shared" ca="1" si="10"/>
        <v>0.19076854537739621</v>
      </c>
    </row>
    <row r="147" spans="6:6" x14ac:dyDescent="0.2">
      <c r="F147">
        <f t="shared" ca="1" si="10"/>
        <v>0.56571392072228688</v>
      </c>
    </row>
    <row r="148" spans="6:6" x14ac:dyDescent="0.2">
      <c r="F148">
        <f t="shared" ca="1" si="10"/>
        <v>5.3860582283996108E-2</v>
      </c>
    </row>
    <row r="149" spans="6:6" x14ac:dyDescent="0.2">
      <c r="F149">
        <f t="shared" ca="1" si="10"/>
        <v>3.0707176718716932E-2</v>
      </c>
    </row>
    <row r="150" spans="6:6" x14ac:dyDescent="0.2">
      <c r="F150">
        <f t="shared" ca="1" si="10"/>
        <v>0.749456803341498</v>
      </c>
    </row>
    <row r="151" spans="6:6" x14ac:dyDescent="0.2">
      <c r="F151">
        <f t="shared" ca="1" si="10"/>
        <v>-0.42358788005283476</v>
      </c>
    </row>
    <row r="152" spans="6:6" x14ac:dyDescent="0.2">
      <c r="F152">
        <f t="shared" ca="1" si="10"/>
        <v>-0.46061205023769497</v>
      </c>
    </row>
    <row r="153" spans="6:6" x14ac:dyDescent="0.2">
      <c r="F153">
        <f t="shared" ca="1" si="10"/>
        <v>0.1907957433736491</v>
      </c>
    </row>
    <row r="154" spans="6:6" x14ac:dyDescent="0.2">
      <c r="F154">
        <f t="shared" ca="1" si="10"/>
        <v>0.32614321079293379</v>
      </c>
    </row>
    <row r="155" spans="6:6" x14ac:dyDescent="0.2">
      <c r="F155">
        <f t="shared" ca="1" si="10"/>
        <v>-0.4408558622351047</v>
      </c>
    </row>
    <row r="156" spans="6:6" x14ac:dyDescent="0.2">
      <c r="F156">
        <f t="shared" ca="1" si="10"/>
        <v>-0.63650955869136006</v>
      </c>
    </row>
    <row r="157" spans="6:6" x14ac:dyDescent="0.2">
      <c r="F157">
        <f t="shared" ca="1" si="10"/>
        <v>-4.4440047177953593E-2</v>
      </c>
    </row>
    <row r="158" spans="6:6" x14ac:dyDescent="0.2">
      <c r="F158">
        <f t="shared" ca="1" si="10"/>
        <v>0.16076111343747149</v>
      </c>
    </row>
    <row r="159" spans="6:6" x14ac:dyDescent="0.2">
      <c r="F159">
        <f t="shared" ca="1" si="10"/>
        <v>-5.7095313292334186E-2</v>
      </c>
    </row>
    <row r="160" spans="6:6" x14ac:dyDescent="0.2">
      <c r="F160">
        <f t="shared" ca="1" si="10"/>
        <v>0.18460574709977984</v>
      </c>
    </row>
    <row r="161" spans="6:6" x14ac:dyDescent="0.2">
      <c r="F161">
        <f t="shared" ca="1" si="10"/>
        <v>-0.84748424937458988</v>
      </c>
    </row>
    <row r="162" spans="6:6" x14ac:dyDescent="0.2">
      <c r="F162">
        <f t="shared" ca="1" si="10"/>
        <v>-9.2973322126866653E-3</v>
      </c>
    </row>
    <row r="163" spans="6:6" x14ac:dyDescent="0.2">
      <c r="F163">
        <f t="shared" ca="1" si="10"/>
        <v>0.49269070848461716</v>
      </c>
    </row>
    <row r="164" spans="6:6" x14ac:dyDescent="0.2">
      <c r="F164">
        <f t="shared" ca="1" si="10"/>
        <v>-0.47697570672695538</v>
      </c>
    </row>
    <row r="165" spans="6:6" x14ac:dyDescent="0.2">
      <c r="F165">
        <f t="shared" ca="1" si="10"/>
        <v>-0.1066481931360543</v>
      </c>
    </row>
    <row r="166" spans="6:6" x14ac:dyDescent="0.2">
      <c r="F166">
        <f t="shared" ca="1" si="10"/>
        <v>0.39416234416180496</v>
      </c>
    </row>
    <row r="167" spans="6:6" x14ac:dyDescent="0.2">
      <c r="F167">
        <f t="shared" ca="1" si="10"/>
        <v>-0.18215016110441512</v>
      </c>
    </row>
    <row r="168" spans="6:6" x14ac:dyDescent="0.2">
      <c r="F168">
        <f t="shared" ca="1" si="10"/>
        <v>-3.0315777431799886E-2</v>
      </c>
    </row>
    <row r="169" spans="6:6" x14ac:dyDescent="0.2">
      <c r="F169">
        <f t="shared" ca="1" si="10"/>
        <v>0.12324917000770959</v>
      </c>
    </row>
    <row r="170" spans="6:6" x14ac:dyDescent="0.2">
      <c r="F170">
        <f t="shared" ca="1" si="10"/>
        <v>0.17023945371412152</v>
      </c>
    </row>
    <row r="171" spans="6:6" x14ac:dyDescent="0.2">
      <c r="F171">
        <f t="shared" ca="1" si="10"/>
        <v>8.6551521666105621E-2</v>
      </c>
    </row>
    <row r="172" spans="6:6" x14ac:dyDescent="0.2">
      <c r="F172">
        <f t="shared" ca="1" si="10"/>
        <v>0.24036704198201095</v>
      </c>
    </row>
    <row r="173" spans="6:6" x14ac:dyDescent="0.2">
      <c r="F173">
        <f t="shared" ca="1" si="10"/>
        <v>-0.98856303161724091</v>
      </c>
    </row>
    <row r="174" spans="6:6" x14ac:dyDescent="0.2">
      <c r="F174">
        <f t="shared" ref="F174:F237" ca="1" si="11">_xlfn.NORM.INV(RAND(),0,STDEV($F$70:$AA$70))</f>
        <v>0.96810933043760139</v>
      </c>
    </row>
    <row r="175" spans="6:6" x14ac:dyDescent="0.2">
      <c r="F175">
        <f t="shared" ca="1" si="11"/>
        <v>9.6961486788773629E-2</v>
      </c>
    </row>
    <row r="176" spans="6:6" x14ac:dyDescent="0.2">
      <c r="F176">
        <f t="shared" ca="1" si="11"/>
        <v>-3.6635958852303634E-2</v>
      </c>
    </row>
    <row r="177" spans="6:6" x14ac:dyDescent="0.2">
      <c r="F177">
        <f t="shared" ca="1" si="11"/>
        <v>-0.50766580719201371</v>
      </c>
    </row>
    <row r="178" spans="6:6" x14ac:dyDescent="0.2">
      <c r="F178">
        <f t="shared" ca="1" si="11"/>
        <v>-0.35446899041745633</v>
      </c>
    </row>
    <row r="179" spans="6:6" x14ac:dyDescent="0.2">
      <c r="F179">
        <f t="shared" ca="1" si="11"/>
        <v>0.38783116075673807</v>
      </c>
    </row>
    <row r="180" spans="6:6" x14ac:dyDescent="0.2">
      <c r="F180">
        <f t="shared" ca="1" si="11"/>
        <v>0.44319801366015477</v>
      </c>
    </row>
    <row r="181" spans="6:6" x14ac:dyDescent="0.2">
      <c r="F181">
        <f t="shared" ca="1" si="11"/>
        <v>0.26238413625568263</v>
      </c>
    </row>
    <row r="182" spans="6:6" x14ac:dyDescent="0.2">
      <c r="F182">
        <f t="shared" ca="1" si="11"/>
        <v>0.23301472316501165</v>
      </c>
    </row>
    <row r="183" spans="6:6" x14ac:dyDescent="0.2">
      <c r="F183">
        <f t="shared" ca="1" si="11"/>
        <v>0.27286384964106092</v>
      </c>
    </row>
    <row r="184" spans="6:6" x14ac:dyDescent="0.2">
      <c r="F184">
        <f t="shared" ca="1" si="11"/>
        <v>4.9102317625663999E-2</v>
      </c>
    </row>
    <row r="185" spans="6:6" x14ac:dyDescent="0.2">
      <c r="F185">
        <f t="shared" ca="1" si="11"/>
        <v>-0.29070582715124321</v>
      </c>
    </row>
    <row r="186" spans="6:6" x14ac:dyDescent="0.2">
      <c r="F186">
        <f t="shared" ca="1" si="11"/>
        <v>-0.17199278155735534</v>
      </c>
    </row>
    <row r="187" spans="6:6" x14ac:dyDescent="0.2">
      <c r="F187">
        <f t="shared" ca="1" si="11"/>
        <v>0.50022303325653372</v>
      </c>
    </row>
    <row r="188" spans="6:6" x14ac:dyDescent="0.2">
      <c r="F188">
        <f t="shared" ca="1" si="11"/>
        <v>2.2513167066917143E-2</v>
      </c>
    </row>
    <row r="189" spans="6:6" x14ac:dyDescent="0.2">
      <c r="F189">
        <f t="shared" ca="1" si="11"/>
        <v>-0.17383093205070418</v>
      </c>
    </row>
    <row r="190" spans="6:6" x14ac:dyDescent="0.2">
      <c r="F190">
        <f t="shared" ca="1" si="11"/>
        <v>4.7453558146280717E-2</v>
      </c>
    </row>
    <row r="191" spans="6:6" x14ac:dyDescent="0.2">
      <c r="F191">
        <f t="shared" ca="1" si="11"/>
        <v>-0.2862203258623579</v>
      </c>
    </row>
    <row r="192" spans="6:6" x14ac:dyDescent="0.2">
      <c r="F192">
        <f t="shared" ca="1" si="11"/>
        <v>0.27480009214638756</v>
      </c>
    </row>
    <row r="193" spans="6:6" x14ac:dyDescent="0.2">
      <c r="F193">
        <f t="shared" ca="1" si="11"/>
        <v>-0.62393751585008839</v>
      </c>
    </row>
    <row r="194" spans="6:6" x14ac:dyDescent="0.2">
      <c r="F194">
        <f t="shared" ca="1" si="11"/>
        <v>-0.10074402208975451</v>
      </c>
    </row>
    <row r="195" spans="6:6" x14ac:dyDescent="0.2">
      <c r="F195">
        <f t="shared" ca="1" si="11"/>
        <v>0.41920894503274897</v>
      </c>
    </row>
    <row r="196" spans="6:6" x14ac:dyDescent="0.2">
      <c r="F196">
        <f t="shared" ca="1" si="11"/>
        <v>-0.27413173913158861</v>
      </c>
    </row>
    <row r="197" spans="6:6" x14ac:dyDescent="0.2">
      <c r="F197">
        <f t="shared" ca="1" si="11"/>
        <v>-6.7798356734340676E-2</v>
      </c>
    </row>
    <row r="198" spans="6:6" x14ac:dyDescent="0.2">
      <c r="F198">
        <f t="shared" ca="1" si="11"/>
        <v>0.15855546256032382</v>
      </c>
    </row>
    <row r="199" spans="6:6" x14ac:dyDescent="0.2">
      <c r="F199">
        <f t="shared" ca="1" si="11"/>
        <v>0.42188708995058288</v>
      </c>
    </row>
    <row r="200" spans="6:6" x14ac:dyDescent="0.2">
      <c r="F200">
        <f t="shared" ca="1" si="11"/>
        <v>-0.76419366114339116</v>
      </c>
    </row>
    <row r="201" spans="6:6" x14ac:dyDescent="0.2">
      <c r="F201">
        <f t="shared" ca="1" si="11"/>
        <v>3.1305489046778566E-2</v>
      </c>
    </row>
    <row r="202" spans="6:6" x14ac:dyDescent="0.2">
      <c r="F202">
        <f t="shared" ca="1" si="11"/>
        <v>0.32463667935247625</v>
      </c>
    </row>
    <row r="203" spans="6:6" x14ac:dyDescent="0.2">
      <c r="F203">
        <f t="shared" ca="1" si="11"/>
        <v>5.5686986271092337E-2</v>
      </c>
    </row>
    <row r="204" spans="6:6" x14ac:dyDescent="0.2">
      <c r="F204">
        <f t="shared" ca="1" si="11"/>
        <v>-0.1435825457941462</v>
      </c>
    </row>
    <row r="205" spans="6:6" x14ac:dyDescent="0.2">
      <c r="F205">
        <f t="shared" ca="1" si="11"/>
        <v>0.25131624146634979</v>
      </c>
    </row>
    <row r="206" spans="6:6" x14ac:dyDescent="0.2">
      <c r="F206">
        <f t="shared" ca="1" si="11"/>
        <v>0.2088628892063</v>
      </c>
    </row>
    <row r="207" spans="6:6" x14ac:dyDescent="0.2">
      <c r="F207">
        <f t="shared" ca="1" si="11"/>
        <v>0.26107556827106249</v>
      </c>
    </row>
    <row r="208" spans="6:6" x14ac:dyDescent="0.2">
      <c r="F208">
        <f t="shared" ca="1" si="11"/>
        <v>-0.3122527130811813</v>
      </c>
    </row>
    <row r="209" spans="6:6" x14ac:dyDescent="0.2">
      <c r="F209">
        <f t="shared" ca="1" si="11"/>
        <v>0.97084927772543239</v>
      </c>
    </row>
    <row r="210" spans="6:6" x14ac:dyDescent="0.2">
      <c r="F210">
        <f t="shared" ca="1" si="11"/>
        <v>0.12098112865301561</v>
      </c>
    </row>
    <row r="211" spans="6:6" x14ac:dyDescent="0.2">
      <c r="F211">
        <f t="shared" ca="1" si="11"/>
        <v>-2.2348031262174026E-2</v>
      </c>
    </row>
    <row r="212" spans="6:6" x14ac:dyDescent="0.2">
      <c r="F212">
        <f t="shared" ca="1" si="11"/>
        <v>0.25030613116892036</v>
      </c>
    </row>
    <row r="213" spans="6:6" x14ac:dyDescent="0.2">
      <c r="F213">
        <f t="shared" ca="1" si="11"/>
        <v>0.1119622156891892</v>
      </c>
    </row>
    <row r="214" spans="6:6" x14ac:dyDescent="0.2">
      <c r="F214">
        <f t="shared" ca="1" si="11"/>
        <v>6.5357297731479802E-2</v>
      </c>
    </row>
    <row r="215" spans="6:6" x14ac:dyDescent="0.2">
      <c r="F215">
        <f t="shared" ca="1" si="11"/>
        <v>0.65184059991413501</v>
      </c>
    </row>
    <row r="216" spans="6:6" x14ac:dyDescent="0.2">
      <c r="F216">
        <f t="shared" ca="1" si="11"/>
        <v>-0.23201724540451701</v>
      </c>
    </row>
    <row r="217" spans="6:6" x14ac:dyDescent="0.2">
      <c r="F217">
        <f t="shared" ca="1" si="11"/>
        <v>5.8379348585753769E-2</v>
      </c>
    </row>
    <row r="218" spans="6:6" x14ac:dyDescent="0.2">
      <c r="F218">
        <f t="shared" ca="1" si="11"/>
        <v>0.34742128382277393</v>
      </c>
    </row>
    <row r="219" spans="6:6" x14ac:dyDescent="0.2">
      <c r="F219">
        <f t="shared" ca="1" si="11"/>
        <v>-0.44418948691480775</v>
      </c>
    </row>
    <row r="220" spans="6:6" x14ac:dyDescent="0.2">
      <c r="F220">
        <f t="shared" ca="1" si="11"/>
        <v>-0.28242867698078539</v>
      </c>
    </row>
    <row r="221" spans="6:6" x14ac:dyDescent="0.2">
      <c r="F221">
        <f t="shared" ca="1" si="11"/>
        <v>-3.5925085665912794E-3</v>
      </c>
    </row>
    <row r="222" spans="6:6" x14ac:dyDescent="0.2">
      <c r="F222">
        <f t="shared" ca="1" si="11"/>
        <v>0.42396864063292106</v>
      </c>
    </row>
    <row r="223" spans="6:6" x14ac:dyDescent="0.2">
      <c r="F223">
        <f t="shared" ca="1" si="11"/>
        <v>-0.21984388895804294</v>
      </c>
    </row>
    <row r="224" spans="6:6" x14ac:dyDescent="0.2">
      <c r="F224">
        <f t="shared" ca="1" si="11"/>
        <v>-0.17373878799898906</v>
      </c>
    </row>
    <row r="225" spans="6:6" x14ac:dyDescent="0.2">
      <c r="F225">
        <f t="shared" ca="1" si="11"/>
        <v>1.5397680808266093E-2</v>
      </c>
    </row>
    <row r="226" spans="6:6" x14ac:dyDescent="0.2">
      <c r="F226">
        <f t="shared" ca="1" si="11"/>
        <v>0.33200874213674214</v>
      </c>
    </row>
    <row r="227" spans="6:6" x14ac:dyDescent="0.2">
      <c r="F227">
        <f t="shared" ca="1" si="11"/>
        <v>-0.25605878772216589</v>
      </c>
    </row>
    <row r="228" spans="6:6" x14ac:dyDescent="0.2">
      <c r="F228">
        <f t="shared" ca="1" si="11"/>
        <v>0.20567252463067834</v>
      </c>
    </row>
    <row r="229" spans="6:6" x14ac:dyDescent="0.2">
      <c r="F229">
        <f t="shared" ca="1" si="11"/>
        <v>-0.76880952121903356</v>
      </c>
    </row>
    <row r="230" spans="6:6" x14ac:dyDescent="0.2">
      <c r="F230">
        <f t="shared" ca="1" si="11"/>
        <v>-0.24708939687249834</v>
      </c>
    </row>
    <row r="231" spans="6:6" x14ac:dyDescent="0.2">
      <c r="F231">
        <f t="shared" ca="1" si="11"/>
        <v>-0.67562714175603622</v>
      </c>
    </row>
    <row r="232" spans="6:6" x14ac:dyDescent="0.2">
      <c r="F232">
        <f t="shared" ca="1" si="11"/>
        <v>0.44693975825546084</v>
      </c>
    </row>
    <row r="233" spans="6:6" x14ac:dyDescent="0.2">
      <c r="F233">
        <f t="shared" ca="1" si="11"/>
        <v>0.75798894227097202</v>
      </c>
    </row>
    <row r="234" spans="6:6" x14ac:dyDescent="0.2">
      <c r="F234">
        <f t="shared" ca="1" si="11"/>
        <v>-0.27625239821322051</v>
      </c>
    </row>
    <row r="235" spans="6:6" x14ac:dyDescent="0.2">
      <c r="F235">
        <f t="shared" ca="1" si="11"/>
        <v>0.27989384883936469</v>
      </c>
    </row>
    <row r="236" spans="6:6" x14ac:dyDescent="0.2">
      <c r="F236">
        <f t="shared" ca="1" si="11"/>
        <v>6.1561088575055947E-2</v>
      </c>
    </row>
    <row r="237" spans="6:6" x14ac:dyDescent="0.2">
      <c r="F237">
        <f t="shared" ca="1" si="11"/>
        <v>0.42621502125125305</v>
      </c>
    </row>
    <row r="238" spans="6:6" x14ac:dyDescent="0.2">
      <c r="F238">
        <f t="shared" ref="F238:F301" ca="1" si="12">_xlfn.NORM.INV(RAND(),0,STDEV($F$70:$AA$70))</f>
        <v>-1.6020975888108118E-2</v>
      </c>
    </row>
    <row r="239" spans="6:6" x14ac:dyDescent="0.2">
      <c r="F239">
        <f t="shared" ca="1" si="12"/>
        <v>-0.50599254087958379</v>
      </c>
    </row>
    <row r="240" spans="6:6" x14ac:dyDescent="0.2">
      <c r="F240">
        <f t="shared" ca="1" si="12"/>
        <v>-5.1824773080279031E-2</v>
      </c>
    </row>
    <row r="241" spans="6:6" x14ac:dyDescent="0.2">
      <c r="F241">
        <f t="shared" ca="1" si="12"/>
        <v>1.2419446734833955E-2</v>
      </c>
    </row>
    <row r="242" spans="6:6" x14ac:dyDescent="0.2">
      <c r="F242">
        <f t="shared" ca="1" si="12"/>
        <v>-0.29608678200831662</v>
      </c>
    </row>
    <row r="243" spans="6:6" x14ac:dyDescent="0.2">
      <c r="F243">
        <f t="shared" ca="1" si="12"/>
        <v>-4.1112965956669106E-2</v>
      </c>
    </row>
    <row r="244" spans="6:6" x14ac:dyDescent="0.2">
      <c r="F244">
        <f t="shared" ca="1" si="12"/>
        <v>6.9345786644394976E-3</v>
      </c>
    </row>
    <row r="245" spans="6:6" x14ac:dyDescent="0.2">
      <c r="F245">
        <f t="shared" ca="1" si="12"/>
        <v>7.1013064714863613E-2</v>
      </c>
    </row>
    <row r="246" spans="6:6" x14ac:dyDescent="0.2">
      <c r="F246">
        <f t="shared" ca="1" si="12"/>
        <v>0.39256446283201851</v>
      </c>
    </row>
    <row r="247" spans="6:6" x14ac:dyDescent="0.2">
      <c r="F247">
        <f t="shared" ca="1" si="12"/>
        <v>1.7605470608772256E-2</v>
      </c>
    </row>
    <row r="248" spans="6:6" x14ac:dyDescent="0.2">
      <c r="F248">
        <f t="shared" ca="1" si="12"/>
        <v>-0.42693555933278021</v>
      </c>
    </row>
    <row r="249" spans="6:6" x14ac:dyDescent="0.2">
      <c r="F249">
        <f t="shared" ca="1" si="12"/>
        <v>4.564293769516635E-2</v>
      </c>
    </row>
    <row r="250" spans="6:6" x14ac:dyDescent="0.2">
      <c r="F250">
        <f t="shared" ca="1" si="12"/>
        <v>-0.44877128549165318</v>
      </c>
    </row>
    <row r="251" spans="6:6" x14ac:dyDescent="0.2">
      <c r="F251">
        <f t="shared" ca="1" si="12"/>
        <v>0.18317275027648292</v>
      </c>
    </row>
    <row r="252" spans="6:6" x14ac:dyDescent="0.2">
      <c r="F252">
        <f t="shared" ca="1" si="12"/>
        <v>0.25826567469287504</v>
      </c>
    </row>
    <row r="253" spans="6:6" x14ac:dyDescent="0.2">
      <c r="F253">
        <f t="shared" ca="1" si="12"/>
        <v>2.7984634709377589E-2</v>
      </c>
    </row>
    <row r="254" spans="6:6" x14ac:dyDescent="0.2">
      <c r="F254">
        <f t="shared" ca="1" si="12"/>
        <v>-6.8788763805300066E-2</v>
      </c>
    </row>
    <row r="255" spans="6:6" x14ac:dyDescent="0.2">
      <c r="F255">
        <f t="shared" ca="1" si="12"/>
        <v>0.47640567281885204</v>
      </c>
    </row>
    <row r="256" spans="6:6" x14ac:dyDescent="0.2">
      <c r="F256">
        <f t="shared" ca="1" si="12"/>
        <v>-0.78400207661270127</v>
      </c>
    </row>
    <row r="257" spans="6:6" x14ac:dyDescent="0.2">
      <c r="F257">
        <f t="shared" ca="1" si="12"/>
        <v>0.29574798685974785</v>
      </c>
    </row>
    <row r="258" spans="6:6" x14ac:dyDescent="0.2">
      <c r="F258">
        <f t="shared" ca="1" si="12"/>
        <v>-0.25514253707499251</v>
      </c>
    </row>
    <row r="259" spans="6:6" x14ac:dyDescent="0.2">
      <c r="F259">
        <f t="shared" ca="1" si="12"/>
        <v>-0.27921745583657365</v>
      </c>
    </row>
    <row r="260" spans="6:6" x14ac:dyDescent="0.2">
      <c r="F260">
        <f t="shared" ca="1" si="12"/>
        <v>-0.18095313023140586</v>
      </c>
    </row>
    <row r="261" spans="6:6" x14ac:dyDescent="0.2">
      <c r="F261">
        <f t="shared" ca="1" si="12"/>
        <v>-4.948342864109144E-2</v>
      </c>
    </row>
    <row r="262" spans="6:6" x14ac:dyDescent="0.2">
      <c r="F262">
        <f t="shared" ca="1" si="12"/>
        <v>0.49875934485428031</v>
      </c>
    </row>
    <row r="263" spans="6:6" x14ac:dyDescent="0.2">
      <c r="F263">
        <f t="shared" ca="1" si="12"/>
        <v>-0.87350592209107725</v>
      </c>
    </row>
    <row r="264" spans="6:6" x14ac:dyDescent="0.2">
      <c r="F264">
        <f t="shared" ca="1" si="12"/>
        <v>-0.46853085484455398</v>
      </c>
    </row>
    <row r="265" spans="6:6" x14ac:dyDescent="0.2">
      <c r="F265">
        <f t="shared" ca="1" si="12"/>
        <v>-0.15619963051304045</v>
      </c>
    </row>
    <row r="266" spans="6:6" x14ac:dyDescent="0.2">
      <c r="F266">
        <f t="shared" ca="1" si="12"/>
        <v>-0.16181666463096647</v>
      </c>
    </row>
    <row r="267" spans="6:6" x14ac:dyDescent="0.2">
      <c r="F267">
        <f t="shared" ca="1" si="12"/>
        <v>-6.8717286828170757E-2</v>
      </c>
    </row>
    <row r="268" spans="6:6" x14ac:dyDescent="0.2">
      <c r="F268">
        <f t="shared" ca="1" si="12"/>
        <v>-0.2041663293805934</v>
      </c>
    </row>
    <row r="269" spans="6:6" x14ac:dyDescent="0.2">
      <c r="F269">
        <f t="shared" ca="1" si="12"/>
        <v>-7.0258929151648095E-2</v>
      </c>
    </row>
    <row r="270" spans="6:6" x14ac:dyDescent="0.2">
      <c r="F270">
        <f t="shared" ca="1" si="12"/>
        <v>4.3044104206106101E-4</v>
      </c>
    </row>
    <row r="271" spans="6:6" x14ac:dyDescent="0.2">
      <c r="F271">
        <f t="shared" ca="1" si="12"/>
        <v>0.6061585854460988</v>
      </c>
    </row>
    <row r="272" spans="6:6" x14ac:dyDescent="0.2">
      <c r="F272">
        <f t="shared" ca="1" si="12"/>
        <v>-0.36818749377351445</v>
      </c>
    </row>
    <row r="273" spans="6:6" x14ac:dyDescent="0.2">
      <c r="F273">
        <f t="shared" ca="1" si="12"/>
        <v>0.18200281101463583</v>
      </c>
    </row>
    <row r="274" spans="6:6" x14ac:dyDescent="0.2">
      <c r="F274">
        <f t="shared" ca="1" si="12"/>
        <v>0.19628269355301767</v>
      </c>
    </row>
    <row r="275" spans="6:6" x14ac:dyDescent="0.2">
      <c r="F275">
        <f t="shared" ca="1" si="12"/>
        <v>-7.5177720482379803E-4</v>
      </c>
    </row>
    <row r="276" spans="6:6" x14ac:dyDescent="0.2">
      <c r="F276">
        <f t="shared" ca="1" si="12"/>
        <v>0.19838045820257982</v>
      </c>
    </row>
    <row r="277" spans="6:6" x14ac:dyDescent="0.2">
      <c r="F277">
        <f t="shared" ca="1" si="12"/>
        <v>0.58538854307961496</v>
      </c>
    </row>
    <row r="278" spans="6:6" x14ac:dyDescent="0.2">
      <c r="F278">
        <f t="shared" ca="1" si="12"/>
        <v>-4.1414868664966645E-2</v>
      </c>
    </row>
    <row r="279" spans="6:6" x14ac:dyDescent="0.2">
      <c r="F279">
        <f t="shared" ca="1" si="12"/>
        <v>0.65446070719416227</v>
      </c>
    </row>
    <row r="280" spans="6:6" x14ac:dyDescent="0.2">
      <c r="F280">
        <f t="shared" ca="1" si="12"/>
        <v>-0.35329497228736845</v>
      </c>
    </row>
    <row r="281" spans="6:6" x14ac:dyDescent="0.2">
      <c r="F281">
        <f t="shared" ca="1" si="12"/>
        <v>-0.34313585399354402</v>
      </c>
    </row>
    <row r="282" spans="6:6" x14ac:dyDescent="0.2">
      <c r="F282">
        <f t="shared" ca="1" si="12"/>
        <v>0.22897982188436838</v>
      </c>
    </row>
    <row r="283" spans="6:6" x14ac:dyDescent="0.2">
      <c r="F283">
        <f t="shared" ca="1" si="12"/>
        <v>-0.40350432526530899</v>
      </c>
    </row>
    <row r="284" spans="6:6" x14ac:dyDescent="0.2">
      <c r="F284">
        <f t="shared" ca="1" si="12"/>
        <v>3.9620497784886133E-2</v>
      </c>
    </row>
    <row r="285" spans="6:6" x14ac:dyDescent="0.2">
      <c r="F285">
        <f t="shared" ca="1" si="12"/>
        <v>0.12919379128379582</v>
      </c>
    </row>
    <row r="286" spans="6:6" x14ac:dyDescent="0.2">
      <c r="F286">
        <f t="shared" ca="1" si="12"/>
        <v>-4.1482570726973311E-2</v>
      </c>
    </row>
    <row r="287" spans="6:6" x14ac:dyDescent="0.2">
      <c r="F287">
        <f t="shared" ca="1" si="12"/>
        <v>-7.7428315764442757E-2</v>
      </c>
    </row>
    <row r="288" spans="6:6" x14ac:dyDescent="0.2">
      <c r="F288">
        <f t="shared" ca="1" si="12"/>
        <v>0.12247840944795632</v>
      </c>
    </row>
    <row r="289" spans="6:6" x14ac:dyDescent="0.2">
      <c r="F289">
        <f t="shared" ca="1" si="12"/>
        <v>0.42428154813938868</v>
      </c>
    </row>
    <row r="290" spans="6:6" x14ac:dyDescent="0.2">
      <c r="F290">
        <f t="shared" ca="1" si="12"/>
        <v>-0.33260895201138196</v>
      </c>
    </row>
    <row r="291" spans="6:6" x14ac:dyDescent="0.2">
      <c r="F291">
        <f t="shared" ca="1" si="12"/>
        <v>0.12937752385814436</v>
      </c>
    </row>
    <row r="292" spans="6:6" x14ac:dyDescent="0.2">
      <c r="F292">
        <f t="shared" ca="1" si="12"/>
        <v>-0.15796475821487882</v>
      </c>
    </row>
    <row r="293" spans="6:6" x14ac:dyDescent="0.2">
      <c r="F293">
        <f t="shared" ca="1" si="12"/>
        <v>-0.34259376457504553</v>
      </c>
    </row>
    <row r="294" spans="6:6" x14ac:dyDescent="0.2">
      <c r="F294">
        <f t="shared" ca="1" si="12"/>
        <v>2.7528900659145452E-2</v>
      </c>
    </row>
    <row r="295" spans="6:6" x14ac:dyDescent="0.2">
      <c r="F295">
        <f t="shared" ca="1" si="12"/>
        <v>0.41045460071506029</v>
      </c>
    </row>
    <row r="296" spans="6:6" x14ac:dyDescent="0.2">
      <c r="F296">
        <f t="shared" ca="1" si="12"/>
        <v>6.7786935102934404E-2</v>
      </c>
    </row>
    <row r="297" spans="6:6" x14ac:dyDescent="0.2">
      <c r="F297">
        <f t="shared" ca="1" si="12"/>
        <v>0.332123887996147</v>
      </c>
    </row>
    <row r="298" spans="6:6" x14ac:dyDescent="0.2">
      <c r="F298">
        <f t="shared" ca="1" si="12"/>
        <v>0.26369159804899711</v>
      </c>
    </row>
    <row r="299" spans="6:6" x14ac:dyDescent="0.2">
      <c r="F299">
        <f t="shared" ca="1" si="12"/>
        <v>0.19998298441481835</v>
      </c>
    </row>
    <row r="300" spans="6:6" x14ac:dyDescent="0.2">
      <c r="F300">
        <f t="shared" ca="1" si="12"/>
        <v>-1.0986566381842876E-2</v>
      </c>
    </row>
    <row r="301" spans="6:6" x14ac:dyDescent="0.2">
      <c r="F301">
        <f t="shared" ca="1" si="12"/>
        <v>-0.37349044505431994</v>
      </c>
    </row>
    <row r="302" spans="6:6" x14ac:dyDescent="0.2">
      <c r="F302">
        <f t="shared" ref="F302:F342" ca="1" si="13">_xlfn.NORM.INV(RAND(),0,STDEV($F$70:$AA$70))</f>
        <v>0.20663576617088997</v>
      </c>
    </row>
    <row r="303" spans="6:6" x14ac:dyDescent="0.2">
      <c r="F303">
        <f t="shared" ca="1" si="13"/>
        <v>-0.41088046144229673</v>
      </c>
    </row>
    <row r="304" spans="6:6" x14ac:dyDescent="0.2">
      <c r="F304">
        <f t="shared" ca="1" si="13"/>
        <v>0.34016590049638379</v>
      </c>
    </row>
    <row r="305" spans="6:6" x14ac:dyDescent="0.2">
      <c r="F305">
        <f t="shared" ca="1" si="13"/>
        <v>0.3319445940610577</v>
      </c>
    </row>
    <row r="306" spans="6:6" x14ac:dyDescent="0.2">
      <c r="F306">
        <f t="shared" ca="1" si="13"/>
        <v>0.34486020536679118</v>
      </c>
    </row>
    <row r="307" spans="6:6" x14ac:dyDescent="0.2">
      <c r="F307">
        <f t="shared" ca="1" si="13"/>
        <v>0.57013403693300313</v>
      </c>
    </row>
    <row r="308" spans="6:6" x14ac:dyDescent="0.2">
      <c r="F308">
        <f t="shared" ca="1" si="13"/>
        <v>-0.35675446325796656</v>
      </c>
    </row>
    <row r="309" spans="6:6" x14ac:dyDescent="0.2">
      <c r="F309">
        <f t="shared" ca="1" si="13"/>
        <v>0.25361035266149479</v>
      </c>
    </row>
    <row r="310" spans="6:6" x14ac:dyDescent="0.2">
      <c r="F310">
        <f t="shared" ca="1" si="13"/>
        <v>1.6035117331905102E-2</v>
      </c>
    </row>
    <row r="311" spans="6:6" x14ac:dyDescent="0.2">
      <c r="F311">
        <f t="shared" ca="1" si="13"/>
        <v>-0.48389702176132637</v>
      </c>
    </row>
    <row r="312" spans="6:6" x14ac:dyDescent="0.2">
      <c r="F312">
        <f t="shared" ca="1" si="13"/>
        <v>-0.22890356565086215</v>
      </c>
    </row>
    <row r="313" spans="6:6" x14ac:dyDescent="0.2">
      <c r="F313">
        <f t="shared" ca="1" si="13"/>
        <v>-0.53960505793316993</v>
      </c>
    </row>
    <row r="314" spans="6:6" x14ac:dyDescent="0.2">
      <c r="F314">
        <f t="shared" ca="1" si="13"/>
        <v>-0.15385998326728553</v>
      </c>
    </row>
    <row r="315" spans="6:6" x14ac:dyDescent="0.2">
      <c r="F315">
        <f t="shared" ca="1" si="13"/>
        <v>0.68177965430001641</v>
      </c>
    </row>
    <row r="316" spans="6:6" x14ac:dyDescent="0.2">
      <c r="F316">
        <f t="shared" ca="1" si="13"/>
        <v>0.43737650439238118</v>
      </c>
    </row>
    <row r="317" spans="6:6" x14ac:dyDescent="0.2">
      <c r="F317">
        <f t="shared" ca="1" si="13"/>
        <v>0.1853470713210531</v>
      </c>
    </row>
    <row r="318" spans="6:6" x14ac:dyDescent="0.2">
      <c r="F318">
        <f t="shared" ca="1" si="13"/>
        <v>-0.28096866828220374</v>
      </c>
    </row>
    <row r="319" spans="6:6" x14ac:dyDescent="0.2">
      <c r="F319">
        <f t="shared" ca="1" si="13"/>
        <v>0.35871468254925287</v>
      </c>
    </row>
    <row r="320" spans="6:6" x14ac:dyDescent="0.2">
      <c r="F320">
        <f t="shared" ca="1" si="13"/>
        <v>1.9810548656672084E-3</v>
      </c>
    </row>
    <row r="321" spans="6:6" x14ac:dyDescent="0.2">
      <c r="F321">
        <f t="shared" ca="1" si="13"/>
        <v>0.1171146823861295</v>
      </c>
    </row>
    <row r="322" spans="6:6" x14ac:dyDescent="0.2">
      <c r="F322">
        <f t="shared" ca="1" si="13"/>
        <v>-8.706408630735632E-2</v>
      </c>
    </row>
    <row r="323" spans="6:6" x14ac:dyDescent="0.2">
      <c r="F323">
        <f t="shared" ca="1" si="13"/>
        <v>0.2814842670965001</v>
      </c>
    </row>
    <row r="324" spans="6:6" x14ac:dyDescent="0.2">
      <c r="F324">
        <f t="shared" ca="1" si="13"/>
        <v>0.40989849567772485</v>
      </c>
    </row>
    <row r="325" spans="6:6" x14ac:dyDescent="0.2">
      <c r="F325">
        <f t="shared" ca="1" si="13"/>
        <v>-0.6774370821310316</v>
      </c>
    </row>
    <row r="326" spans="6:6" x14ac:dyDescent="0.2">
      <c r="F326">
        <f t="shared" ca="1" si="13"/>
        <v>6.9181204674440389E-2</v>
      </c>
    </row>
    <row r="327" spans="6:6" x14ac:dyDescent="0.2">
      <c r="F327">
        <f t="shared" ca="1" si="13"/>
        <v>-0.13930231266079895</v>
      </c>
    </row>
    <row r="328" spans="6:6" x14ac:dyDescent="0.2">
      <c r="F328">
        <f t="shared" ca="1" si="13"/>
        <v>-0.18291407943320537</v>
      </c>
    </row>
    <row r="329" spans="6:6" x14ac:dyDescent="0.2">
      <c r="F329">
        <f t="shared" ca="1" si="13"/>
        <v>-0.26199640634454785</v>
      </c>
    </row>
    <row r="330" spans="6:6" x14ac:dyDescent="0.2">
      <c r="F330">
        <f t="shared" ca="1" si="13"/>
        <v>0.42866247428719606</v>
      </c>
    </row>
    <row r="331" spans="6:6" x14ac:dyDescent="0.2">
      <c r="F331">
        <f t="shared" ca="1" si="13"/>
        <v>-2.6585249118446525E-2</v>
      </c>
    </row>
    <row r="332" spans="6:6" x14ac:dyDescent="0.2">
      <c r="F332">
        <f t="shared" ca="1" si="13"/>
        <v>-0.32100810804880647</v>
      </c>
    </row>
    <row r="333" spans="6:6" x14ac:dyDescent="0.2">
      <c r="F333">
        <f t="shared" ca="1" si="13"/>
        <v>0.31429573019206353</v>
      </c>
    </row>
    <row r="334" spans="6:6" x14ac:dyDescent="0.2">
      <c r="F334">
        <f t="shared" ca="1" si="13"/>
        <v>-0.1691820091269379</v>
      </c>
    </row>
    <row r="335" spans="6:6" x14ac:dyDescent="0.2">
      <c r="F335">
        <f t="shared" ca="1" si="13"/>
        <v>5.07800848386111E-2</v>
      </c>
    </row>
    <row r="336" spans="6:6" x14ac:dyDescent="0.2">
      <c r="F336">
        <f t="shared" ca="1" si="13"/>
        <v>-0.23113335391826414</v>
      </c>
    </row>
    <row r="337" spans="6:6" x14ac:dyDescent="0.2">
      <c r="F337">
        <f t="shared" ca="1" si="13"/>
        <v>0.32489272413487991</v>
      </c>
    </row>
    <row r="338" spans="6:6" x14ac:dyDescent="0.2">
      <c r="F338">
        <f t="shared" ca="1" si="13"/>
        <v>5.5158863240662485E-2</v>
      </c>
    </row>
    <row r="339" spans="6:6" x14ac:dyDescent="0.2">
      <c r="F339">
        <f t="shared" ca="1" si="13"/>
        <v>0.39625647987732621</v>
      </c>
    </row>
    <row r="340" spans="6:6" x14ac:dyDescent="0.2">
      <c r="F340">
        <f t="shared" ca="1" si="13"/>
        <v>0.1086593943037821</v>
      </c>
    </row>
    <row r="341" spans="6:6" x14ac:dyDescent="0.2">
      <c r="F341">
        <f t="shared" ca="1" si="13"/>
        <v>-0.43810707889040551</v>
      </c>
    </row>
    <row r="342" spans="6:6" x14ac:dyDescent="0.2">
      <c r="F342">
        <f t="shared" ca="1" si="13"/>
        <v>-0.13990924342923097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E638-C329-A04E-A251-98612556FE94}">
  <dimension ref="A1:AG346"/>
  <sheetViews>
    <sheetView topLeftCell="I1" workbookViewId="0">
      <pane ySplit="1" topLeftCell="A2" activePane="bottomLeft" state="frozen"/>
      <selection pane="bottomLeft" sqref="A1:AA34"/>
    </sheetView>
  </sheetViews>
  <sheetFormatPr baseColWidth="10" defaultRowHeight="16" x14ac:dyDescent="0.2"/>
  <cols>
    <col min="1" max="1" width="19.6640625" bestFit="1" customWidth="1"/>
    <col min="2" max="2" width="11.33203125" bestFit="1" customWidth="1"/>
    <col min="3" max="3" width="11.6640625" bestFit="1" customWidth="1"/>
    <col min="6" max="7" width="10.83203125" customWidth="1"/>
    <col min="8" max="8" width="12.1640625" bestFit="1" customWidth="1"/>
    <col min="29" max="29" width="12.1640625" bestFit="1" customWidth="1"/>
  </cols>
  <sheetData>
    <row r="1" spans="1:33" s="3" customFormat="1" ht="19" x14ac:dyDescent="0.25">
      <c r="A1" s="3" t="s">
        <v>0</v>
      </c>
      <c r="B1" s="3" t="s">
        <v>1</v>
      </c>
      <c r="C1" s="3" t="s">
        <v>2</v>
      </c>
      <c r="F1" s="4">
        <v>1</v>
      </c>
      <c r="G1" s="4">
        <v>2</v>
      </c>
      <c r="H1" s="4">
        <v>3</v>
      </c>
      <c r="I1" s="4">
        <v>4</v>
      </c>
      <c r="J1" s="4">
        <v>5</v>
      </c>
      <c r="K1" s="4">
        <v>6</v>
      </c>
      <c r="L1" s="4">
        <v>7</v>
      </c>
      <c r="M1" s="4">
        <v>8</v>
      </c>
      <c r="N1" s="4">
        <v>9</v>
      </c>
      <c r="O1" s="4">
        <v>10</v>
      </c>
      <c r="P1" s="4">
        <v>11</v>
      </c>
      <c r="Q1" s="4">
        <v>12</v>
      </c>
      <c r="R1" s="4">
        <v>13</v>
      </c>
      <c r="S1" s="4">
        <v>14</v>
      </c>
      <c r="T1" s="4">
        <v>15</v>
      </c>
      <c r="U1" s="4">
        <v>16</v>
      </c>
      <c r="V1" s="4">
        <v>17</v>
      </c>
      <c r="W1" s="4">
        <v>18</v>
      </c>
      <c r="X1" s="4">
        <v>19</v>
      </c>
      <c r="Y1" s="4">
        <v>20</v>
      </c>
      <c r="Z1" s="4">
        <v>21</v>
      </c>
      <c r="AA1" s="4">
        <v>22</v>
      </c>
      <c r="AB1" s="3" t="s">
        <v>55</v>
      </c>
      <c r="AC1" s="3" t="s">
        <v>56</v>
      </c>
    </row>
    <row r="2" spans="1:33" x14ac:dyDescent="0.2">
      <c r="A2" t="s">
        <v>3</v>
      </c>
      <c r="B2">
        <v>15</v>
      </c>
      <c r="C2">
        <v>16</v>
      </c>
      <c r="D2" t="b">
        <f>C2=B2</f>
        <v>0</v>
      </c>
      <c r="I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43</v>
      </c>
      <c r="T2" t="s">
        <v>53</v>
      </c>
      <c r="U2" t="s">
        <v>53</v>
      </c>
      <c r="V2" t="s">
        <v>53</v>
      </c>
      <c r="W2" t="s">
        <v>53</v>
      </c>
      <c r="Y2" t="s">
        <v>53</v>
      </c>
      <c r="Z2" t="s">
        <v>53</v>
      </c>
      <c r="AB2" cm="1">
        <f t="array" ref="AB2">SUM(IF("X" = F2:AA2, 1, 0))</f>
        <v>15</v>
      </c>
      <c r="AC2" cm="1">
        <f t="array" ref="AC2">SUM(IF("?" = F2:AA2, 1, 0)) + AB2</f>
        <v>16</v>
      </c>
      <c r="AF2" t="b">
        <f>AB2=B2</f>
        <v>1</v>
      </c>
      <c r="AG2" t="b">
        <f>AC2=C2</f>
        <v>1</v>
      </c>
    </row>
    <row r="3" spans="1:33" x14ac:dyDescent="0.2">
      <c r="A3" t="s">
        <v>4</v>
      </c>
      <c r="B3">
        <v>10</v>
      </c>
      <c r="C3">
        <v>12</v>
      </c>
      <c r="D3" t="b">
        <f t="shared" ref="D3:D34" si="0">C3=B3</f>
        <v>0</v>
      </c>
      <c r="G3" t="s">
        <v>53</v>
      </c>
      <c r="J3" t="s">
        <v>53</v>
      </c>
      <c r="N3" t="s">
        <v>53</v>
      </c>
      <c r="Q3" t="s">
        <v>53</v>
      </c>
      <c r="R3" t="s">
        <v>53</v>
      </c>
      <c r="S3" t="s">
        <v>43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AA3" t="s">
        <v>43</v>
      </c>
      <c r="AB3" cm="1">
        <f t="array" ref="AB3">SUM(IF("X" = F3:AA3, 1, 0))</f>
        <v>10</v>
      </c>
      <c r="AC3" cm="1">
        <f t="array" ref="AC3">SUM(IF("?" = F3:AA3, 1, 0)) + AB3</f>
        <v>12</v>
      </c>
      <c r="AF3" t="b">
        <f t="shared" ref="AF3:AF34" si="1">AB3=B3</f>
        <v>1</v>
      </c>
      <c r="AG3" t="b">
        <f t="shared" ref="AG3:AG34" si="2">AC3=C3</f>
        <v>1</v>
      </c>
    </row>
    <row r="4" spans="1:33" x14ac:dyDescent="0.2">
      <c r="A4" t="s">
        <v>5</v>
      </c>
      <c r="B4">
        <v>13</v>
      </c>
      <c r="C4">
        <v>13</v>
      </c>
      <c r="D4" t="b">
        <f t="shared" si="0"/>
        <v>1</v>
      </c>
      <c r="F4" t="s">
        <v>53</v>
      </c>
      <c r="G4" t="s">
        <v>53</v>
      </c>
      <c r="O4" t="s">
        <v>53</v>
      </c>
      <c r="P4" t="s">
        <v>53</v>
      </c>
      <c r="Q4" t="s">
        <v>53</v>
      </c>
      <c r="R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AA4" t="s">
        <v>53</v>
      </c>
      <c r="AB4" cm="1">
        <f t="array" ref="AB4">SUM(IF("X" = F4:AA4, 1, 0))</f>
        <v>13</v>
      </c>
      <c r="AC4" cm="1">
        <f t="array" ref="AC4">SUM(IF("?" = F4:AA4, 1, 0)) + AB4</f>
        <v>13</v>
      </c>
      <c r="AF4" t="b">
        <f t="shared" si="1"/>
        <v>1</v>
      </c>
      <c r="AG4" t="b">
        <f t="shared" si="2"/>
        <v>1</v>
      </c>
    </row>
    <row r="5" spans="1:33" x14ac:dyDescent="0.2">
      <c r="A5" s="8" t="s">
        <v>6</v>
      </c>
      <c r="B5">
        <v>19</v>
      </c>
      <c r="C5">
        <v>19</v>
      </c>
      <c r="D5" t="b">
        <f t="shared" si="0"/>
        <v>1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W5" t="s">
        <v>53</v>
      </c>
      <c r="X5" t="s">
        <v>53</v>
      </c>
      <c r="Y5" t="s">
        <v>53</v>
      </c>
      <c r="AA5" t="s">
        <v>53</v>
      </c>
      <c r="AB5" cm="1">
        <f t="array" ref="AB5">SUM(IF("X" = F5:AA5, 1, 0))</f>
        <v>19</v>
      </c>
      <c r="AC5" cm="1">
        <f t="array" ref="AC5">SUM(IF("?" = F5:AA5, 1, 0)) + AB5</f>
        <v>19</v>
      </c>
      <c r="AF5" t="b">
        <f t="shared" si="1"/>
        <v>1</v>
      </c>
      <c r="AG5" t="b">
        <f t="shared" si="2"/>
        <v>1</v>
      </c>
    </row>
    <row r="6" spans="1:33" x14ac:dyDescent="0.2">
      <c r="A6" t="s">
        <v>7</v>
      </c>
      <c r="B6">
        <v>12</v>
      </c>
      <c r="C6">
        <v>13</v>
      </c>
      <c r="D6" t="b">
        <f t="shared" si="0"/>
        <v>0</v>
      </c>
      <c r="G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O6" t="s">
        <v>43</v>
      </c>
      <c r="T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cm="1">
        <f t="array" ref="AB6">SUM(IF("X" = F6:AA6, 1, 0))</f>
        <v>12</v>
      </c>
      <c r="AC6" cm="1">
        <f t="array" ref="AC6">SUM(IF("?" = F6:AA6, 1, 0)) + AB6</f>
        <v>13</v>
      </c>
      <c r="AF6" t="b">
        <f t="shared" si="1"/>
        <v>1</v>
      </c>
      <c r="AG6" t="b">
        <f t="shared" si="2"/>
        <v>1</v>
      </c>
    </row>
    <row r="7" spans="1:33" x14ac:dyDescent="0.2">
      <c r="A7" t="s">
        <v>8</v>
      </c>
      <c r="B7">
        <v>16</v>
      </c>
      <c r="C7">
        <v>16</v>
      </c>
      <c r="D7" t="b">
        <f t="shared" si="0"/>
        <v>1</v>
      </c>
      <c r="G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R7" t="s">
        <v>53</v>
      </c>
      <c r="T7" t="s">
        <v>53</v>
      </c>
      <c r="U7" t="s">
        <v>53</v>
      </c>
      <c r="V7" t="s">
        <v>53</v>
      </c>
      <c r="W7" t="s">
        <v>53</v>
      </c>
      <c r="Y7" t="s">
        <v>53</v>
      </c>
      <c r="AA7" t="s">
        <v>53</v>
      </c>
      <c r="AB7" cm="1">
        <f t="array" ref="AB7">SUM(IF("X" = F7:AA7, 1, 0))</f>
        <v>16</v>
      </c>
      <c r="AC7" cm="1">
        <f t="array" ref="AC7">SUM(IF("?" = F7:AA7, 1, 0)) + AB7</f>
        <v>16</v>
      </c>
      <c r="AF7" t="b">
        <f t="shared" si="1"/>
        <v>1</v>
      </c>
      <c r="AG7" t="b">
        <f t="shared" si="2"/>
        <v>1</v>
      </c>
    </row>
    <row r="8" spans="1:33" x14ac:dyDescent="0.2">
      <c r="A8" t="s">
        <v>9</v>
      </c>
      <c r="B8">
        <v>12</v>
      </c>
      <c r="C8">
        <v>14</v>
      </c>
      <c r="D8" t="b">
        <f t="shared" si="0"/>
        <v>0</v>
      </c>
      <c r="F8" t="s">
        <v>53</v>
      </c>
      <c r="G8" t="s">
        <v>53</v>
      </c>
      <c r="H8" t="s">
        <v>53</v>
      </c>
      <c r="M8" t="s">
        <v>53</v>
      </c>
      <c r="N8" t="s">
        <v>53</v>
      </c>
      <c r="O8" t="s">
        <v>53</v>
      </c>
      <c r="Q8" t="s">
        <v>53</v>
      </c>
      <c r="R8" t="s">
        <v>53</v>
      </c>
      <c r="S8" t="s">
        <v>43</v>
      </c>
      <c r="T8" t="s">
        <v>53</v>
      </c>
      <c r="U8" t="s">
        <v>43</v>
      </c>
      <c r="V8" t="s">
        <v>53</v>
      </c>
      <c r="Y8" t="s">
        <v>53</v>
      </c>
      <c r="AA8" t="s">
        <v>53</v>
      </c>
      <c r="AB8" cm="1">
        <f t="array" ref="AB8">SUM(IF("X" = F8:AA8, 1, 0))</f>
        <v>12</v>
      </c>
      <c r="AC8" cm="1">
        <f t="array" ref="AC8">SUM(IF("?" = F8:AA8, 1, 0)) + AB8</f>
        <v>14</v>
      </c>
      <c r="AF8" t="b">
        <f t="shared" si="1"/>
        <v>1</v>
      </c>
      <c r="AG8" t="b">
        <f t="shared" si="2"/>
        <v>1</v>
      </c>
    </row>
    <row r="9" spans="1:33" x14ac:dyDescent="0.2">
      <c r="A9" s="8" t="s">
        <v>10</v>
      </c>
      <c r="B9">
        <v>17</v>
      </c>
      <c r="C9">
        <v>18</v>
      </c>
      <c r="D9" t="b">
        <f t="shared" si="0"/>
        <v>0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M9" t="s">
        <v>53</v>
      </c>
      <c r="N9" t="s">
        <v>53</v>
      </c>
      <c r="O9" t="s">
        <v>43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W9" t="s">
        <v>53</v>
      </c>
      <c r="Z9" t="s">
        <v>53</v>
      </c>
      <c r="AA9" t="s">
        <v>53</v>
      </c>
      <c r="AB9" cm="1">
        <f t="array" ref="AB9">SUM(IF("X" = F9:AA9, 1, 0))</f>
        <v>17</v>
      </c>
      <c r="AC9" cm="1">
        <f t="array" ref="AC9">SUM(IF("?" = F9:AA9, 1, 0)) + AB9</f>
        <v>18</v>
      </c>
      <c r="AF9" t="b">
        <f t="shared" si="1"/>
        <v>1</v>
      </c>
      <c r="AG9" t="b">
        <f t="shared" si="2"/>
        <v>1</v>
      </c>
    </row>
    <row r="10" spans="1:33" x14ac:dyDescent="0.2">
      <c r="A10" s="9" t="s">
        <v>54</v>
      </c>
      <c r="B10">
        <v>16</v>
      </c>
      <c r="C10">
        <v>19</v>
      </c>
      <c r="D10" t="b">
        <f t="shared" si="0"/>
        <v>0</v>
      </c>
      <c r="F10" t="s">
        <v>53</v>
      </c>
      <c r="G10" t="s">
        <v>53</v>
      </c>
      <c r="H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43</v>
      </c>
      <c r="P10" t="s">
        <v>53</v>
      </c>
      <c r="Q10" t="s">
        <v>53</v>
      </c>
      <c r="R10" t="s">
        <v>53</v>
      </c>
      <c r="S10" t="s">
        <v>43</v>
      </c>
      <c r="T10" t="s">
        <v>53</v>
      </c>
      <c r="U10" t="s">
        <v>53</v>
      </c>
      <c r="W10" t="s">
        <v>53</v>
      </c>
      <c r="X10" t="s">
        <v>53</v>
      </c>
      <c r="Y10" t="s">
        <v>53</v>
      </c>
      <c r="AA10" t="s">
        <v>43</v>
      </c>
      <c r="AB10" cm="1">
        <f t="array" ref="AB10">SUM(IF("X" = F10:AA10, 1, 0))</f>
        <v>16</v>
      </c>
      <c r="AC10" cm="1">
        <f t="array" ref="AC10">SUM(IF("?" = F10:AA10, 1, 0)) + AB10</f>
        <v>19</v>
      </c>
      <c r="AF10" t="b">
        <f t="shared" si="1"/>
        <v>1</v>
      </c>
      <c r="AG10" t="b">
        <f t="shared" si="2"/>
        <v>1</v>
      </c>
    </row>
    <row r="11" spans="1:33" x14ac:dyDescent="0.2">
      <c r="A11" t="s">
        <v>11</v>
      </c>
      <c r="B11">
        <v>14</v>
      </c>
      <c r="C11">
        <v>15</v>
      </c>
      <c r="D11" t="b">
        <f t="shared" si="0"/>
        <v>0</v>
      </c>
      <c r="F11" t="s">
        <v>53</v>
      </c>
      <c r="G11" t="s">
        <v>53</v>
      </c>
      <c r="H11" t="s">
        <v>53</v>
      </c>
      <c r="J11" t="s">
        <v>53</v>
      </c>
      <c r="K11" t="s">
        <v>53</v>
      </c>
      <c r="M11" t="s">
        <v>53</v>
      </c>
      <c r="Q11" t="s">
        <v>53</v>
      </c>
      <c r="R11" t="s">
        <v>53</v>
      </c>
      <c r="S11" t="s">
        <v>43</v>
      </c>
      <c r="T11" t="s">
        <v>53</v>
      </c>
      <c r="U11" t="s">
        <v>53</v>
      </c>
      <c r="W11" t="s">
        <v>53</v>
      </c>
      <c r="X11" t="s">
        <v>53</v>
      </c>
      <c r="Z11" t="s">
        <v>53</v>
      </c>
      <c r="AA11" t="s">
        <v>53</v>
      </c>
      <c r="AB11" cm="1">
        <f t="array" ref="AB11">SUM(IF("X" = F11:AA11, 1, 0))</f>
        <v>14</v>
      </c>
      <c r="AC11" cm="1">
        <f t="array" ref="AC11">SUM(IF("?" = F11:AA11, 1, 0)) + AB11</f>
        <v>15</v>
      </c>
      <c r="AF11" t="b">
        <f t="shared" si="1"/>
        <v>1</v>
      </c>
      <c r="AG11" t="b">
        <f t="shared" si="2"/>
        <v>1</v>
      </c>
    </row>
    <row r="12" spans="1:33" x14ac:dyDescent="0.2">
      <c r="A12" s="9" t="s">
        <v>12</v>
      </c>
      <c r="B12">
        <v>15</v>
      </c>
      <c r="C12">
        <v>17</v>
      </c>
      <c r="D12" t="b">
        <f t="shared" si="0"/>
        <v>0</v>
      </c>
      <c r="F12" t="s">
        <v>53</v>
      </c>
      <c r="G12" t="s">
        <v>53</v>
      </c>
      <c r="H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Q12" t="s">
        <v>53</v>
      </c>
      <c r="R12" t="s">
        <v>53</v>
      </c>
      <c r="S12" t="s">
        <v>43</v>
      </c>
      <c r="T12" t="s">
        <v>53</v>
      </c>
      <c r="U12" t="s">
        <v>53</v>
      </c>
      <c r="V12" t="s">
        <v>53</v>
      </c>
      <c r="W12" t="s">
        <v>53</v>
      </c>
      <c r="AA12" t="s">
        <v>43</v>
      </c>
      <c r="AB12" cm="1">
        <f t="array" ref="AB12">SUM(IF("X" = F12:AA12, 1, 0))</f>
        <v>15</v>
      </c>
      <c r="AC12" cm="1">
        <f t="array" ref="AC12">SUM(IF("?" = F12:AA12, 1, 0)) + AB12</f>
        <v>17</v>
      </c>
      <c r="AF12" t="b">
        <f t="shared" si="1"/>
        <v>1</v>
      </c>
      <c r="AG12" t="b">
        <f t="shared" si="2"/>
        <v>1</v>
      </c>
    </row>
    <row r="13" spans="1:33" x14ac:dyDescent="0.2">
      <c r="A13" s="9" t="s">
        <v>13</v>
      </c>
      <c r="B13">
        <v>13</v>
      </c>
      <c r="C13">
        <v>17</v>
      </c>
      <c r="D13" t="b">
        <f t="shared" si="0"/>
        <v>0</v>
      </c>
      <c r="F13" t="s">
        <v>53</v>
      </c>
      <c r="G13" t="s">
        <v>53</v>
      </c>
      <c r="I13" t="s">
        <v>53</v>
      </c>
      <c r="J13" t="s">
        <v>43</v>
      </c>
      <c r="K13" t="s">
        <v>53</v>
      </c>
      <c r="L13" t="s">
        <v>53</v>
      </c>
      <c r="M13" t="s">
        <v>53</v>
      </c>
      <c r="N13" t="s">
        <v>53</v>
      </c>
      <c r="P13" t="s">
        <v>53</v>
      </c>
      <c r="Q13" t="s">
        <v>53</v>
      </c>
      <c r="R13" t="s">
        <v>53</v>
      </c>
      <c r="S13" t="s">
        <v>43</v>
      </c>
      <c r="T13" t="s">
        <v>53</v>
      </c>
      <c r="U13" t="s">
        <v>53</v>
      </c>
      <c r="W13" t="s">
        <v>53</v>
      </c>
      <c r="Z13" t="s">
        <v>43</v>
      </c>
      <c r="AA13" t="s">
        <v>43</v>
      </c>
      <c r="AB13" cm="1">
        <f t="array" ref="AB13">SUM(IF("X" = F13:AA13, 1, 0))</f>
        <v>13</v>
      </c>
      <c r="AC13" cm="1">
        <f t="array" ref="AC13">SUM(IF("?" = F13:AA13, 1, 0)) + AB13</f>
        <v>17</v>
      </c>
      <c r="AF13" t="b">
        <f t="shared" si="1"/>
        <v>1</v>
      </c>
      <c r="AG13" t="b">
        <f t="shared" si="2"/>
        <v>1</v>
      </c>
    </row>
    <row r="14" spans="1:33" x14ac:dyDescent="0.2">
      <c r="A14" t="s">
        <v>57</v>
      </c>
      <c r="B14">
        <v>13</v>
      </c>
      <c r="C14">
        <v>15</v>
      </c>
      <c r="D14" t="b">
        <f t="shared" si="0"/>
        <v>0</v>
      </c>
      <c r="F14" t="s">
        <v>53</v>
      </c>
      <c r="G14" t="s">
        <v>53</v>
      </c>
      <c r="J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43</v>
      </c>
      <c r="T14" t="s">
        <v>53</v>
      </c>
      <c r="U14" t="s">
        <v>53</v>
      </c>
      <c r="V14" t="s">
        <v>53</v>
      </c>
      <c r="Y14" t="s">
        <v>53</v>
      </c>
      <c r="AA14" t="s">
        <v>43</v>
      </c>
      <c r="AB14" cm="1">
        <f t="array" ref="AB14">SUM(IF("X" = F14:AA14, 1, 0))</f>
        <v>13</v>
      </c>
      <c r="AC14" cm="1">
        <f t="array" ref="AC14">SUM(IF("?" = F14:AA14, 1, 0)) + AB14</f>
        <v>15</v>
      </c>
      <c r="AF14" t="b">
        <f t="shared" si="1"/>
        <v>1</v>
      </c>
      <c r="AG14" t="b">
        <f t="shared" si="2"/>
        <v>1</v>
      </c>
    </row>
    <row r="15" spans="1:33" x14ac:dyDescent="0.2">
      <c r="A15" t="s">
        <v>14</v>
      </c>
      <c r="B15">
        <v>13</v>
      </c>
      <c r="C15">
        <v>15</v>
      </c>
      <c r="D15" t="b">
        <f t="shared" si="0"/>
        <v>0</v>
      </c>
      <c r="F15" t="s">
        <v>53</v>
      </c>
      <c r="G15" t="s">
        <v>53</v>
      </c>
      <c r="J15" t="s">
        <v>53</v>
      </c>
      <c r="K15" t="s">
        <v>53</v>
      </c>
      <c r="N15" t="s">
        <v>53</v>
      </c>
      <c r="O15" t="s">
        <v>43</v>
      </c>
      <c r="P15" t="s">
        <v>53</v>
      </c>
      <c r="Q15" t="s">
        <v>53</v>
      </c>
      <c r="R15" t="s">
        <v>53</v>
      </c>
      <c r="T15" t="s">
        <v>53</v>
      </c>
      <c r="U15" t="s">
        <v>53</v>
      </c>
      <c r="W15" t="s">
        <v>53</v>
      </c>
      <c r="X15" t="s">
        <v>53</v>
      </c>
      <c r="Y15" t="s">
        <v>53</v>
      </c>
      <c r="AA15" t="s">
        <v>43</v>
      </c>
      <c r="AB15" cm="1">
        <f t="array" ref="AB15">SUM(IF("X" = F15:AA15, 1, 0))</f>
        <v>13</v>
      </c>
      <c r="AC15" cm="1">
        <f t="array" ref="AC15">SUM(IF("?" = F15:AA15, 1, 0)) + AB15</f>
        <v>15</v>
      </c>
      <c r="AF15" t="b">
        <f t="shared" si="1"/>
        <v>1</v>
      </c>
      <c r="AG15" t="b">
        <f t="shared" si="2"/>
        <v>1</v>
      </c>
    </row>
    <row r="16" spans="1:33" x14ac:dyDescent="0.2">
      <c r="A16" s="9" t="s">
        <v>15</v>
      </c>
      <c r="B16">
        <v>14</v>
      </c>
      <c r="C16">
        <v>17</v>
      </c>
      <c r="D16" t="b">
        <f t="shared" si="0"/>
        <v>0</v>
      </c>
      <c r="F16" t="s">
        <v>53</v>
      </c>
      <c r="G16" t="s">
        <v>53</v>
      </c>
      <c r="H16" t="s">
        <v>53</v>
      </c>
      <c r="I16" t="s">
        <v>53</v>
      </c>
      <c r="K16" t="s">
        <v>53</v>
      </c>
      <c r="M16" t="s">
        <v>53</v>
      </c>
      <c r="N16" t="s">
        <v>53</v>
      </c>
      <c r="O16" t="s">
        <v>43</v>
      </c>
      <c r="P16" t="s">
        <v>53</v>
      </c>
      <c r="Q16" t="s">
        <v>53</v>
      </c>
      <c r="R16" t="s">
        <v>53</v>
      </c>
      <c r="T16" t="s">
        <v>53</v>
      </c>
      <c r="U16" t="s">
        <v>53</v>
      </c>
      <c r="V16" t="s">
        <v>43</v>
      </c>
      <c r="W16" t="s">
        <v>53</v>
      </c>
      <c r="Y16" t="s">
        <v>53</v>
      </c>
      <c r="AA16" t="s">
        <v>43</v>
      </c>
      <c r="AB16" cm="1">
        <f t="array" ref="AB16">SUM(IF("X" = F16:AA16, 1, 0))</f>
        <v>14</v>
      </c>
      <c r="AC16" cm="1">
        <f t="array" ref="AC16">SUM(IF("?" = F16:AA16, 1, 0)) + AB16</f>
        <v>17</v>
      </c>
      <c r="AF16" t="b">
        <f t="shared" si="1"/>
        <v>1</v>
      </c>
      <c r="AG16" t="b">
        <f t="shared" si="2"/>
        <v>1</v>
      </c>
    </row>
    <row r="17" spans="1:33" x14ac:dyDescent="0.2">
      <c r="A17" t="s">
        <v>16</v>
      </c>
      <c r="B17">
        <v>12</v>
      </c>
      <c r="C17">
        <v>14</v>
      </c>
      <c r="D17" t="b">
        <f t="shared" si="0"/>
        <v>0</v>
      </c>
      <c r="F17" t="s">
        <v>53</v>
      </c>
      <c r="G17" t="s">
        <v>53</v>
      </c>
      <c r="J17" t="s">
        <v>53</v>
      </c>
      <c r="M17" t="s">
        <v>53</v>
      </c>
      <c r="N17" t="s">
        <v>53</v>
      </c>
      <c r="O17" t="s">
        <v>43</v>
      </c>
      <c r="P17" t="s">
        <v>53</v>
      </c>
      <c r="Q17" t="s">
        <v>53</v>
      </c>
      <c r="R17" t="s">
        <v>53</v>
      </c>
      <c r="S17" t="s">
        <v>43</v>
      </c>
      <c r="T17" t="s">
        <v>53</v>
      </c>
      <c r="U17" t="s">
        <v>53</v>
      </c>
      <c r="W17" t="s">
        <v>53</v>
      </c>
      <c r="AA17" t="s">
        <v>53</v>
      </c>
      <c r="AB17" cm="1">
        <f t="array" ref="AB17">SUM(IF("X" = F17:AA17, 1, 0))</f>
        <v>12</v>
      </c>
      <c r="AC17" cm="1">
        <f t="array" ref="AC17">SUM(IF("?" = F17:AA17, 1, 0)) + AB17</f>
        <v>14</v>
      </c>
      <c r="AF17" t="b">
        <f t="shared" si="1"/>
        <v>1</v>
      </c>
      <c r="AG17" t="b">
        <f t="shared" si="2"/>
        <v>1</v>
      </c>
    </row>
    <row r="18" spans="1:33" x14ac:dyDescent="0.2">
      <c r="A18" t="s">
        <v>17</v>
      </c>
      <c r="B18">
        <v>12</v>
      </c>
      <c r="C18">
        <v>12</v>
      </c>
      <c r="D18" t="b">
        <f t="shared" si="0"/>
        <v>1</v>
      </c>
      <c r="G18" t="s">
        <v>53</v>
      </c>
      <c r="K18" t="s">
        <v>53</v>
      </c>
      <c r="M18" t="s">
        <v>53</v>
      </c>
      <c r="N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W18" t="s">
        <v>53</v>
      </c>
      <c r="Y18" t="s">
        <v>53</v>
      </c>
      <c r="AB18" cm="1">
        <f t="array" ref="AB18">SUM(IF("X" = F18:AA18, 1, 0))</f>
        <v>12</v>
      </c>
      <c r="AC18" cm="1">
        <f t="array" ref="AC18">SUM(IF("?" = F18:AA18, 1, 0)) + AB18</f>
        <v>12</v>
      </c>
      <c r="AF18" t="b">
        <f t="shared" si="1"/>
        <v>1</v>
      </c>
      <c r="AG18" t="b">
        <f t="shared" si="2"/>
        <v>1</v>
      </c>
    </row>
    <row r="19" spans="1:33" x14ac:dyDescent="0.2">
      <c r="A19" t="s">
        <v>18</v>
      </c>
      <c r="B19">
        <v>14</v>
      </c>
      <c r="C19">
        <v>15</v>
      </c>
      <c r="D19" t="b">
        <f t="shared" si="0"/>
        <v>0</v>
      </c>
      <c r="F19" t="s">
        <v>53</v>
      </c>
      <c r="G19" t="s">
        <v>53</v>
      </c>
      <c r="K19" t="s">
        <v>53</v>
      </c>
      <c r="L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43</v>
      </c>
      <c r="T19" t="s">
        <v>53</v>
      </c>
      <c r="U19" t="s">
        <v>53</v>
      </c>
      <c r="W19" t="s">
        <v>53</v>
      </c>
      <c r="Z19" t="s">
        <v>53</v>
      </c>
      <c r="AA19" t="s">
        <v>53</v>
      </c>
      <c r="AB19" cm="1">
        <f t="array" ref="AB19">SUM(IF("X" = F19:AA19, 1, 0))</f>
        <v>14</v>
      </c>
      <c r="AC19" cm="1">
        <f t="array" ref="AC19">SUM(IF("?" = F19:AA19, 1, 0)) + AB19</f>
        <v>15</v>
      </c>
      <c r="AF19" t="b">
        <f t="shared" si="1"/>
        <v>1</v>
      </c>
      <c r="AG19" t="b">
        <f t="shared" si="2"/>
        <v>1</v>
      </c>
    </row>
    <row r="20" spans="1:33" x14ac:dyDescent="0.2">
      <c r="A20" s="9" t="s">
        <v>19</v>
      </c>
      <c r="B20">
        <v>13</v>
      </c>
      <c r="C20">
        <v>17</v>
      </c>
      <c r="D20" t="b">
        <f t="shared" si="0"/>
        <v>0</v>
      </c>
      <c r="F20" t="s">
        <v>53</v>
      </c>
      <c r="G20" t="s">
        <v>53</v>
      </c>
      <c r="H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43</v>
      </c>
      <c r="P20" t="s">
        <v>53</v>
      </c>
      <c r="Q20" t="s">
        <v>53</v>
      </c>
      <c r="R20" t="s">
        <v>53</v>
      </c>
      <c r="S20" t="s">
        <v>43</v>
      </c>
      <c r="U20" t="s">
        <v>53</v>
      </c>
      <c r="V20" t="s">
        <v>43</v>
      </c>
      <c r="Y20" t="s">
        <v>53</v>
      </c>
      <c r="AA20" t="s">
        <v>43</v>
      </c>
      <c r="AB20" cm="1">
        <f t="array" ref="AB20">SUM(IF("X" = F20:AA20, 1, 0))</f>
        <v>13</v>
      </c>
      <c r="AC20" cm="1">
        <f t="array" ref="AC20">SUM(IF("?" = F20:AA20, 1, 0)) + AB20</f>
        <v>17</v>
      </c>
      <c r="AF20" t="b">
        <f t="shared" si="1"/>
        <v>1</v>
      </c>
      <c r="AG20" t="b">
        <f t="shared" si="2"/>
        <v>1</v>
      </c>
    </row>
    <row r="21" spans="1:33" x14ac:dyDescent="0.2">
      <c r="A21" s="9" t="s">
        <v>20</v>
      </c>
      <c r="B21">
        <v>15</v>
      </c>
      <c r="C21">
        <v>18</v>
      </c>
      <c r="D21" t="b">
        <f t="shared" si="0"/>
        <v>0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N21" t="s">
        <v>53</v>
      </c>
      <c r="O21" t="s">
        <v>43</v>
      </c>
      <c r="P21" t="s">
        <v>53</v>
      </c>
      <c r="Q21" t="s">
        <v>53</v>
      </c>
      <c r="R21" t="s">
        <v>53</v>
      </c>
      <c r="S21" t="s">
        <v>43</v>
      </c>
      <c r="T21" t="s">
        <v>53</v>
      </c>
      <c r="U21" t="s">
        <v>53</v>
      </c>
      <c r="V21" t="s">
        <v>53</v>
      </c>
      <c r="X21" t="s">
        <v>53</v>
      </c>
      <c r="AA21" t="s">
        <v>43</v>
      </c>
      <c r="AB21" cm="1">
        <f t="array" ref="AB21">SUM(IF("X" = F21:AA21, 1, 0))</f>
        <v>15</v>
      </c>
      <c r="AC21" cm="1">
        <f t="array" ref="AC21">SUM(IF("?" = F21:AA21, 1, 0)) + AB21</f>
        <v>18</v>
      </c>
      <c r="AF21" t="b">
        <f t="shared" si="1"/>
        <v>1</v>
      </c>
      <c r="AG21" t="b">
        <f t="shared" si="2"/>
        <v>1</v>
      </c>
    </row>
    <row r="22" spans="1:33" x14ac:dyDescent="0.2">
      <c r="A22" t="s">
        <v>21</v>
      </c>
      <c r="B22">
        <v>15</v>
      </c>
      <c r="C22">
        <v>16</v>
      </c>
      <c r="D22" t="b">
        <f t="shared" si="0"/>
        <v>0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M22" t="s">
        <v>53</v>
      </c>
      <c r="Q22" t="s">
        <v>53</v>
      </c>
      <c r="R22" t="s">
        <v>53</v>
      </c>
      <c r="S22" t="s">
        <v>43</v>
      </c>
      <c r="T22" t="s">
        <v>53</v>
      </c>
      <c r="U22" t="s">
        <v>53</v>
      </c>
      <c r="V22" t="s">
        <v>53</v>
      </c>
      <c r="W22" t="s">
        <v>53</v>
      </c>
      <c r="Y22" t="s">
        <v>53</v>
      </c>
      <c r="AA22" t="s">
        <v>53</v>
      </c>
      <c r="AB22" cm="1">
        <f t="array" ref="AB22">SUM(IF("X" = F22:AA22, 1, 0))</f>
        <v>15</v>
      </c>
      <c r="AC22" cm="1">
        <f t="array" ref="AC22">SUM(IF("?" = F22:AA22, 1, 0)) + AB22</f>
        <v>16</v>
      </c>
      <c r="AF22" t="b">
        <f t="shared" si="1"/>
        <v>1</v>
      </c>
      <c r="AG22" t="b">
        <f t="shared" si="2"/>
        <v>1</v>
      </c>
    </row>
    <row r="23" spans="1:33" x14ac:dyDescent="0.2">
      <c r="A23" t="s">
        <v>22</v>
      </c>
      <c r="B23">
        <v>14</v>
      </c>
      <c r="C23">
        <v>16</v>
      </c>
      <c r="D23" t="b">
        <f t="shared" si="0"/>
        <v>0</v>
      </c>
      <c r="F23" t="s">
        <v>53</v>
      </c>
      <c r="G23" t="s">
        <v>53</v>
      </c>
      <c r="K23" t="s">
        <v>53</v>
      </c>
      <c r="L23" t="s">
        <v>53</v>
      </c>
      <c r="N23" t="s">
        <v>53</v>
      </c>
      <c r="O23" t="s">
        <v>43</v>
      </c>
      <c r="P23" t="s">
        <v>53</v>
      </c>
      <c r="Q23" t="s">
        <v>53</v>
      </c>
      <c r="R23" t="s">
        <v>53</v>
      </c>
      <c r="T23" t="s">
        <v>53</v>
      </c>
      <c r="U23" t="s">
        <v>53</v>
      </c>
      <c r="V23" t="s">
        <v>53</v>
      </c>
      <c r="W23" t="s">
        <v>53</v>
      </c>
      <c r="Y23" t="s">
        <v>53</v>
      </c>
      <c r="Z23" t="s">
        <v>53</v>
      </c>
      <c r="AA23" t="s">
        <v>43</v>
      </c>
      <c r="AB23" cm="1">
        <f t="array" ref="AB23">SUM(IF("X" = F23:AA23, 1, 0))</f>
        <v>14</v>
      </c>
      <c r="AC23" cm="1">
        <f t="array" ref="AC23">SUM(IF("?" = F23:AA23, 1, 0)) + AB23</f>
        <v>16</v>
      </c>
      <c r="AF23" t="b">
        <f t="shared" si="1"/>
        <v>1</v>
      </c>
      <c r="AG23" t="b">
        <f t="shared" si="2"/>
        <v>1</v>
      </c>
    </row>
    <row r="24" spans="1:33" x14ac:dyDescent="0.2">
      <c r="A24" t="s">
        <v>23</v>
      </c>
      <c r="B24">
        <v>12</v>
      </c>
      <c r="C24">
        <v>14</v>
      </c>
      <c r="D24" t="b">
        <f t="shared" si="0"/>
        <v>0</v>
      </c>
      <c r="F24" t="s">
        <v>53</v>
      </c>
      <c r="G24" t="s">
        <v>53</v>
      </c>
      <c r="I24" t="s">
        <v>53</v>
      </c>
      <c r="J24" t="s">
        <v>43</v>
      </c>
      <c r="N24" t="s">
        <v>53</v>
      </c>
      <c r="P24" t="s">
        <v>53</v>
      </c>
      <c r="Q24" t="s">
        <v>53</v>
      </c>
      <c r="R24" t="s">
        <v>53</v>
      </c>
      <c r="T24" t="s">
        <v>53</v>
      </c>
      <c r="U24" t="s">
        <v>53</v>
      </c>
      <c r="V24" t="s">
        <v>53</v>
      </c>
      <c r="W24" t="s">
        <v>53</v>
      </c>
      <c r="Y24" t="s">
        <v>53</v>
      </c>
      <c r="AA24" t="s">
        <v>43</v>
      </c>
      <c r="AB24" cm="1">
        <f t="array" ref="AB24">SUM(IF("X" = F24:AA24, 1, 0))</f>
        <v>12</v>
      </c>
      <c r="AC24" cm="1">
        <f t="array" ref="AC24">SUM(IF("?" = F24:AA24, 1, 0)) + AB24</f>
        <v>14</v>
      </c>
      <c r="AF24" t="b">
        <f t="shared" si="1"/>
        <v>1</v>
      </c>
      <c r="AG24" t="b">
        <f t="shared" si="2"/>
        <v>1</v>
      </c>
    </row>
    <row r="25" spans="1:33" x14ac:dyDescent="0.2">
      <c r="A25" s="9" t="s">
        <v>24</v>
      </c>
      <c r="B25">
        <v>16</v>
      </c>
      <c r="C25">
        <v>18</v>
      </c>
      <c r="D25" t="b">
        <f t="shared" si="0"/>
        <v>0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M25" t="s">
        <v>53</v>
      </c>
      <c r="N25" t="s">
        <v>53</v>
      </c>
      <c r="O25" t="s">
        <v>53</v>
      </c>
      <c r="P25" t="s">
        <v>53</v>
      </c>
      <c r="R25" t="s">
        <v>53</v>
      </c>
      <c r="S25" t="s">
        <v>43</v>
      </c>
      <c r="T25" t="s">
        <v>53</v>
      </c>
      <c r="U25" t="s">
        <v>53</v>
      </c>
      <c r="V25" t="s">
        <v>53</v>
      </c>
      <c r="W25" t="s">
        <v>53</v>
      </c>
      <c r="Y25" t="s">
        <v>53</v>
      </c>
      <c r="AA25" t="s">
        <v>43</v>
      </c>
      <c r="AB25" cm="1">
        <f t="array" ref="AB25">SUM(IF("X" = F25:AA25, 1, 0))</f>
        <v>16</v>
      </c>
      <c r="AC25" cm="1">
        <f t="array" ref="AC25">SUM(IF("?" = F25:AA25, 1, 0)) + AB25</f>
        <v>18</v>
      </c>
      <c r="AF25" t="b">
        <f t="shared" si="1"/>
        <v>1</v>
      </c>
      <c r="AG25" t="b">
        <f t="shared" si="2"/>
        <v>1</v>
      </c>
    </row>
    <row r="26" spans="1:33" x14ac:dyDescent="0.2">
      <c r="A26" t="s">
        <v>25</v>
      </c>
      <c r="B26">
        <v>15</v>
      </c>
      <c r="C26">
        <v>16</v>
      </c>
      <c r="D26" t="b">
        <f t="shared" si="0"/>
        <v>0</v>
      </c>
      <c r="F26" t="s">
        <v>53</v>
      </c>
      <c r="G26" t="s">
        <v>53</v>
      </c>
      <c r="H26" t="s">
        <v>53</v>
      </c>
      <c r="J26" t="s">
        <v>53</v>
      </c>
      <c r="K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43</v>
      </c>
      <c r="T26" t="s">
        <v>53</v>
      </c>
      <c r="U26" t="s">
        <v>53</v>
      </c>
      <c r="V26" t="s">
        <v>53</v>
      </c>
      <c r="AA26" t="s">
        <v>53</v>
      </c>
      <c r="AB26" cm="1">
        <f t="array" ref="AB26">SUM(IF("X" = F26:AA26, 1, 0))</f>
        <v>15</v>
      </c>
      <c r="AC26" cm="1">
        <f t="array" ref="AC26">SUM(IF("?" = F26:AA26, 1, 0)) + AB26</f>
        <v>16</v>
      </c>
      <c r="AF26" t="b">
        <f t="shared" si="1"/>
        <v>1</v>
      </c>
      <c r="AG26" t="b">
        <f t="shared" si="2"/>
        <v>1</v>
      </c>
    </row>
    <row r="27" spans="1:33" x14ac:dyDescent="0.2">
      <c r="A27" t="s">
        <v>26</v>
      </c>
      <c r="B27">
        <v>15</v>
      </c>
      <c r="C27">
        <v>16</v>
      </c>
      <c r="D27" t="b">
        <f t="shared" si="0"/>
        <v>0</v>
      </c>
      <c r="F27" t="s">
        <v>53</v>
      </c>
      <c r="G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T27" t="s">
        <v>53</v>
      </c>
      <c r="U27" t="s">
        <v>53</v>
      </c>
      <c r="V27" t="s">
        <v>53</v>
      </c>
      <c r="W27" t="s">
        <v>53</v>
      </c>
      <c r="Z27" t="s">
        <v>53</v>
      </c>
      <c r="AA27" t="s">
        <v>43</v>
      </c>
      <c r="AB27" cm="1">
        <f t="array" ref="AB27">SUM(IF("X" = F27:AA27, 1, 0))</f>
        <v>15</v>
      </c>
      <c r="AC27" cm="1">
        <f t="array" ref="AC27">SUM(IF("?" = F27:AA27, 1, 0)) + AB27</f>
        <v>16</v>
      </c>
      <c r="AF27" t="b">
        <f t="shared" si="1"/>
        <v>1</v>
      </c>
      <c r="AG27" t="b">
        <f t="shared" si="2"/>
        <v>1</v>
      </c>
    </row>
    <row r="28" spans="1:33" x14ac:dyDescent="0.2">
      <c r="A28" t="s">
        <v>27</v>
      </c>
      <c r="B28">
        <v>12</v>
      </c>
      <c r="C28">
        <v>14</v>
      </c>
      <c r="D28" t="b">
        <f t="shared" si="0"/>
        <v>0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N28" t="s">
        <v>53</v>
      </c>
      <c r="O28" t="s">
        <v>53</v>
      </c>
      <c r="R28" t="s">
        <v>53</v>
      </c>
      <c r="S28" t="s">
        <v>43</v>
      </c>
      <c r="T28" t="s">
        <v>53</v>
      </c>
      <c r="U28" t="s">
        <v>43</v>
      </c>
      <c r="V28" t="s">
        <v>53</v>
      </c>
      <c r="W28" t="s">
        <v>53</v>
      </c>
      <c r="AA28" t="s">
        <v>53</v>
      </c>
      <c r="AB28" cm="1">
        <f t="array" ref="AB28">SUM(IF("X" = F28:AA28, 1, 0))</f>
        <v>12</v>
      </c>
      <c r="AC28" cm="1">
        <f t="array" ref="AC28">SUM(IF("?" = F28:AA28, 1, 0)) + AB28</f>
        <v>14</v>
      </c>
      <c r="AF28" t="b">
        <f t="shared" si="1"/>
        <v>1</v>
      </c>
      <c r="AG28" t="b">
        <f t="shared" si="2"/>
        <v>1</v>
      </c>
    </row>
    <row r="29" spans="1:33" x14ac:dyDescent="0.2">
      <c r="A29" t="s">
        <v>28</v>
      </c>
      <c r="B29">
        <v>12</v>
      </c>
      <c r="C29">
        <v>13</v>
      </c>
      <c r="D29" t="b">
        <f t="shared" si="0"/>
        <v>0</v>
      </c>
      <c r="F29" t="s">
        <v>53</v>
      </c>
      <c r="G29" t="s">
        <v>53</v>
      </c>
      <c r="H29" t="s">
        <v>53</v>
      </c>
      <c r="N29" t="s">
        <v>53</v>
      </c>
      <c r="O29" t="s">
        <v>53</v>
      </c>
      <c r="P29" t="s">
        <v>53</v>
      </c>
      <c r="R29" t="s">
        <v>53</v>
      </c>
      <c r="S29" t="s">
        <v>43</v>
      </c>
      <c r="T29" t="s">
        <v>53</v>
      </c>
      <c r="U29" t="s">
        <v>53</v>
      </c>
      <c r="V29" t="s">
        <v>53</v>
      </c>
      <c r="Y29" t="s">
        <v>53</v>
      </c>
      <c r="Z29" t="s">
        <v>53</v>
      </c>
      <c r="AB29" cm="1">
        <f t="array" ref="AB29">SUM(IF("X" = F29:AA29, 1, 0))</f>
        <v>12</v>
      </c>
      <c r="AC29" cm="1">
        <f t="array" ref="AC29">SUM(IF("?" = F29:AA29, 1, 0)) + AB29</f>
        <v>13</v>
      </c>
      <c r="AF29" t="b">
        <f t="shared" si="1"/>
        <v>1</v>
      </c>
      <c r="AG29" t="b">
        <f t="shared" si="2"/>
        <v>1</v>
      </c>
    </row>
    <row r="30" spans="1:33" x14ac:dyDescent="0.2">
      <c r="A30" s="8" t="s">
        <v>29</v>
      </c>
      <c r="B30">
        <v>19</v>
      </c>
      <c r="C30">
        <v>21</v>
      </c>
      <c r="D30" t="b">
        <f t="shared" si="0"/>
        <v>0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43</v>
      </c>
      <c r="T30" t="s">
        <v>53</v>
      </c>
      <c r="U30" t="s">
        <v>53</v>
      </c>
      <c r="V30" t="s">
        <v>53</v>
      </c>
      <c r="W30" t="s">
        <v>53</v>
      </c>
      <c r="Y30" t="s">
        <v>53</v>
      </c>
      <c r="Z30" t="s">
        <v>53</v>
      </c>
      <c r="AA30" t="s">
        <v>43</v>
      </c>
      <c r="AB30" cm="1">
        <f t="array" ref="AB30">SUM(IF("X" = F30:AA30, 1, 0))</f>
        <v>19</v>
      </c>
      <c r="AC30" cm="1">
        <f t="array" ref="AC30">SUM(IF("?" = F30:AA30, 1, 0)) + AB30</f>
        <v>21</v>
      </c>
      <c r="AF30" t="b">
        <f t="shared" si="1"/>
        <v>1</v>
      </c>
      <c r="AG30" t="b">
        <f t="shared" si="2"/>
        <v>1</v>
      </c>
    </row>
    <row r="31" spans="1:33" x14ac:dyDescent="0.2">
      <c r="A31" t="s">
        <v>30</v>
      </c>
      <c r="B31">
        <v>13</v>
      </c>
      <c r="C31">
        <v>15</v>
      </c>
      <c r="D31" t="b">
        <f t="shared" si="0"/>
        <v>0</v>
      </c>
      <c r="F31" t="s">
        <v>53</v>
      </c>
      <c r="G31" t="s">
        <v>53</v>
      </c>
      <c r="J31" t="s">
        <v>53</v>
      </c>
      <c r="N31" t="s">
        <v>53</v>
      </c>
      <c r="O31" t="s">
        <v>43</v>
      </c>
      <c r="P31" t="s">
        <v>53</v>
      </c>
      <c r="Q31" t="s">
        <v>53</v>
      </c>
      <c r="R31" t="s">
        <v>53</v>
      </c>
      <c r="S31" t="s">
        <v>43</v>
      </c>
      <c r="T31" t="s">
        <v>53</v>
      </c>
      <c r="U31" t="s">
        <v>53</v>
      </c>
      <c r="W31" t="s">
        <v>53</v>
      </c>
      <c r="Y31" t="s">
        <v>53</v>
      </c>
      <c r="Z31" t="s">
        <v>53</v>
      </c>
      <c r="AA31" t="s">
        <v>53</v>
      </c>
      <c r="AB31" cm="1">
        <f t="array" ref="AB31">SUM(IF("X" = F31:AA31, 1, 0))</f>
        <v>13</v>
      </c>
      <c r="AC31" cm="1">
        <f t="array" ref="AC31">SUM(IF("?" = F31:AA31, 1, 0)) + AB31</f>
        <v>15</v>
      </c>
      <c r="AF31" t="b">
        <f t="shared" si="1"/>
        <v>1</v>
      </c>
      <c r="AG31" t="b">
        <f t="shared" si="2"/>
        <v>1</v>
      </c>
    </row>
    <row r="32" spans="1:33" x14ac:dyDescent="0.2">
      <c r="A32" t="s">
        <v>31</v>
      </c>
      <c r="B32">
        <v>12</v>
      </c>
      <c r="C32">
        <v>14</v>
      </c>
      <c r="D32" t="b">
        <f t="shared" si="0"/>
        <v>0</v>
      </c>
      <c r="F32" t="s">
        <v>53</v>
      </c>
      <c r="G32" t="s">
        <v>53</v>
      </c>
      <c r="J32" t="s">
        <v>53</v>
      </c>
      <c r="N32" t="s">
        <v>53</v>
      </c>
      <c r="O32" t="s">
        <v>43</v>
      </c>
      <c r="P32" t="s">
        <v>53</v>
      </c>
      <c r="Q32" t="s">
        <v>53</v>
      </c>
      <c r="R32" t="s">
        <v>53</v>
      </c>
      <c r="S32" t="s">
        <v>43</v>
      </c>
      <c r="T32" t="s">
        <v>53</v>
      </c>
      <c r="U32" t="s">
        <v>53</v>
      </c>
      <c r="W32" t="s">
        <v>53</v>
      </c>
      <c r="Z32" t="s">
        <v>53</v>
      </c>
      <c r="AA32" t="s">
        <v>53</v>
      </c>
      <c r="AB32" cm="1">
        <f t="array" ref="AB32">SUM(IF("X" = F32:AA32, 1, 0))</f>
        <v>12</v>
      </c>
      <c r="AC32" cm="1">
        <f t="array" ref="AC32">SUM(IF("?" = F32:AA32, 1, 0)) + AB32</f>
        <v>14</v>
      </c>
      <c r="AF32" t="b">
        <f t="shared" si="1"/>
        <v>1</v>
      </c>
      <c r="AG32" t="b">
        <f t="shared" si="2"/>
        <v>1</v>
      </c>
    </row>
    <row r="33" spans="1:33" x14ac:dyDescent="0.2">
      <c r="A33" t="s">
        <v>32</v>
      </c>
      <c r="B33">
        <v>12</v>
      </c>
      <c r="C33">
        <v>14</v>
      </c>
      <c r="D33" t="b">
        <f t="shared" si="0"/>
        <v>0</v>
      </c>
      <c r="F33" t="s">
        <v>53</v>
      </c>
      <c r="G33" t="s">
        <v>53</v>
      </c>
      <c r="I33" t="s">
        <v>53</v>
      </c>
      <c r="M33" t="s">
        <v>53</v>
      </c>
      <c r="N33" t="s">
        <v>53</v>
      </c>
      <c r="O33" t="s">
        <v>43</v>
      </c>
      <c r="P33" t="s">
        <v>53</v>
      </c>
      <c r="R33" t="s">
        <v>53</v>
      </c>
      <c r="S33" t="s">
        <v>43</v>
      </c>
      <c r="T33" t="s">
        <v>53</v>
      </c>
      <c r="U33" t="s">
        <v>53</v>
      </c>
      <c r="W33" t="s">
        <v>53</v>
      </c>
      <c r="Z33" t="s">
        <v>53</v>
      </c>
      <c r="AA33" t="s">
        <v>53</v>
      </c>
      <c r="AB33" cm="1">
        <f t="array" ref="AB33">SUM(IF("X" = F33:AA33, 1, 0))</f>
        <v>12</v>
      </c>
      <c r="AC33" cm="1">
        <f t="array" ref="AC33">SUM(IF("?" = F33:AA33, 1, 0)) + AB33</f>
        <v>14</v>
      </c>
      <c r="AF33" t="b">
        <f t="shared" si="1"/>
        <v>1</v>
      </c>
      <c r="AG33" t="b">
        <f t="shared" si="2"/>
        <v>1</v>
      </c>
    </row>
    <row r="34" spans="1:33" x14ac:dyDescent="0.2">
      <c r="A34" t="s">
        <v>33</v>
      </c>
      <c r="B34">
        <v>15</v>
      </c>
      <c r="C34">
        <v>16</v>
      </c>
      <c r="D34" t="b">
        <f t="shared" si="0"/>
        <v>0</v>
      </c>
      <c r="F34" t="s">
        <v>53</v>
      </c>
      <c r="G34" t="s">
        <v>53</v>
      </c>
      <c r="I34" t="s">
        <v>53</v>
      </c>
      <c r="L34" t="s">
        <v>53</v>
      </c>
      <c r="M34" t="s">
        <v>53</v>
      </c>
      <c r="O34" t="s">
        <v>43</v>
      </c>
      <c r="P34" t="s">
        <v>53</v>
      </c>
      <c r="Q34" t="s">
        <v>53</v>
      </c>
      <c r="R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B34" cm="1">
        <f t="array" ref="AB34">SUM(IF("X" = F34:AA34, 1, 0))</f>
        <v>15</v>
      </c>
      <c r="AC34" cm="1">
        <f t="array" ref="AC34">SUM(IF("?" = F34:AA34, 1, 0)) + AB34</f>
        <v>16</v>
      </c>
      <c r="AF34" t="b">
        <f t="shared" si="1"/>
        <v>1</v>
      </c>
      <c r="AG34" t="b">
        <f t="shared" si="2"/>
        <v>1</v>
      </c>
    </row>
    <row r="35" spans="1:33" x14ac:dyDescent="0.2">
      <c r="B35">
        <f>AVERAGE(B2:B34)</f>
        <v>13.939393939393939</v>
      </c>
      <c r="C35">
        <f>AVERAGE(C2:C34)</f>
        <v>15.606060606060606</v>
      </c>
      <c r="D35">
        <f>COUNTIF(D2:D34,TRUE)</f>
        <v>4</v>
      </c>
    </row>
    <row r="37" spans="1:33" x14ac:dyDescent="0.2">
      <c r="A37" t="s">
        <v>34</v>
      </c>
      <c r="B37">
        <v>21</v>
      </c>
      <c r="C37">
        <v>21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cm="1">
        <f t="array" ref="AB37">SUM(IF("X" = F37:AA37, 1, 0))</f>
        <v>21</v>
      </c>
      <c r="AC37" cm="1">
        <f t="array" ref="AC37">SUM(IF("?" = F37:AA37, 1, 0)) + AB37</f>
        <v>21</v>
      </c>
      <c r="AF37" t="b">
        <f t="shared" ref="AF37:AF57" si="3">AB37=B37</f>
        <v>1</v>
      </c>
      <c r="AG37" t="b">
        <f t="shared" ref="AG37:AG57" si="4">AC37=C37</f>
        <v>1</v>
      </c>
    </row>
    <row r="38" spans="1:33" x14ac:dyDescent="0.2">
      <c r="A38" t="s">
        <v>35</v>
      </c>
      <c r="B38">
        <v>19</v>
      </c>
      <c r="C38">
        <v>20</v>
      </c>
      <c r="F38" t="s">
        <v>53</v>
      </c>
      <c r="G38" t="s">
        <v>53</v>
      </c>
      <c r="I38" t="s">
        <v>53</v>
      </c>
      <c r="J38" t="s">
        <v>53</v>
      </c>
      <c r="K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53</v>
      </c>
      <c r="AA38" t="s">
        <v>53</v>
      </c>
      <c r="AB38" cm="1">
        <f t="array" ref="AB38">SUM(IF("X" = F38:AA38, 1, 0))</f>
        <v>20</v>
      </c>
      <c r="AC38" cm="1">
        <f t="array" ref="AC38">SUM(IF("?" = F38:AA38, 1, 0)) + AB38</f>
        <v>20</v>
      </c>
      <c r="AF38" t="b">
        <f t="shared" si="3"/>
        <v>0</v>
      </c>
      <c r="AG38" t="b">
        <f t="shared" si="4"/>
        <v>1</v>
      </c>
    </row>
    <row r="39" spans="1:33" x14ac:dyDescent="0.2">
      <c r="A39" t="s">
        <v>36</v>
      </c>
      <c r="B39">
        <v>18</v>
      </c>
      <c r="C39">
        <v>18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O39" t="s">
        <v>53</v>
      </c>
      <c r="P39" t="s">
        <v>53</v>
      </c>
      <c r="Q39" t="s">
        <v>53</v>
      </c>
      <c r="T39" t="s">
        <v>53</v>
      </c>
      <c r="U39" t="s">
        <v>53</v>
      </c>
      <c r="V39" t="s">
        <v>53</v>
      </c>
      <c r="W39" t="s">
        <v>53</v>
      </c>
      <c r="Y39" t="s">
        <v>53</v>
      </c>
      <c r="Z39" t="s">
        <v>53</v>
      </c>
      <c r="AA39" t="s">
        <v>53</v>
      </c>
      <c r="AB39" cm="1">
        <f t="array" ref="AB39">SUM(IF("X" = F39:AA39, 1, 0))</f>
        <v>18</v>
      </c>
      <c r="AC39" cm="1">
        <f t="array" ref="AC39">SUM(IF("?" = F39:AA39, 1, 0)) + AB39</f>
        <v>18</v>
      </c>
      <c r="AF39" t="b">
        <f t="shared" si="3"/>
        <v>1</v>
      </c>
      <c r="AG39" t="b">
        <f t="shared" si="4"/>
        <v>1</v>
      </c>
    </row>
    <row r="40" spans="1:33" x14ac:dyDescent="0.2">
      <c r="A40" t="s">
        <v>37</v>
      </c>
      <c r="B40">
        <v>17</v>
      </c>
      <c r="C40">
        <v>17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cm="1">
        <f t="array" ref="AB40">SUM(IF("X" = F40:AA40, 1, 0))</f>
        <v>17</v>
      </c>
      <c r="AC40" cm="1">
        <f t="array" ref="AC40">SUM(IF("?" = F40:AA40, 1, 0)) + AB40</f>
        <v>17</v>
      </c>
      <c r="AF40" t="b">
        <f t="shared" si="3"/>
        <v>1</v>
      </c>
      <c r="AG40" t="b">
        <f t="shared" si="4"/>
        <v>1</v>
      </c>
    </row>
    <row r="41" spans="1:33" x14ac:dyDescent="0.2">
      <c r="A41" t="s">
        <v>38</v>
      </c>
      <c r="B41">
        <v>17</v>
      </c>
      <c r="C41">
        <v>18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W41" t="s">
        <v>53</v>
      </c>
      <c r="Y41" t="s">
        <v>53</v>
      </c>
      <c r="Z41" t="s">
        <v>53</v>
      </c>
      <c r="AA41" t="s">
        <v>53</v>
      </c>
      <c r="AB41" cm="1">
        <f t="array" ref="AB41">SUM(IF("X" = F41:AA41, 1, 0))</f>
        <v>18</v>
      </c>
      <c r="AC41" cm="1">
        <f t="array" ref="AC41">SUM(IF("?" = F41:AA41, 1, 0)) + AB41</f>
        <v>18</v>
      </c>
      <c r="AF41" t="b">
        <f t="shared" si="3"/>
        <v>0</v>
      </c>
      <c r="AG41" t="b">
        <f t="shared" si="4"/>
        <v>1</v>
      </c>
    </row>
    <row r="42" spans="1:33" x14ac:dyDescent="0.2">
      <c r="A42" t="s">
        <v>39</v>
      </c>
      <c r="B42">
        <v>15</v>
      </c>
      <c r="C42">
        <v>15</v>
      </c>
      <c r="F42" t="s">
        <v>53</v>
      </c>
      <c r="G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V42" t="s">
        <v>53</v>
      </c>
      <c r="W42" t="s">
        <v>53</v>
      </c>
      <c r="Y42" t="s">
        <v>53</v>
      </c>
      <c r="Z42" t="s">
        <v>53</v>
      </c>
      <c r="AA42" t="s">
        <v>53</v>
      </c>
      <c r="AB42" cm="1">
        <f t="array" ref="AB42">SUM(IF("X" = F42:AA42, 1, 0))</f>
        <v>15</v>
      </c>
      <c r="AC42" cm="1">
        <f t="array" ref="AC42">SUM(IF("?" = F42:AA42, 1, 0)) + AB42</f>
        <v>15</v>
      </c>
      <c r="AF42" t="b">
        <f t="shared" si="3"/>
        <v>1</v>
      </c>
      <c r="AG42" t="b">
        <f t="shared" si="4"/>
        <v>1</v>
      </c>
    </row>
    <row r="43" spans="1:33" x14ac:dyDescent="0.2">
      <c r="A43" t="s">
        <v>40</v>
      </c>
      <c r="B43">
        <v>14</v>
      </c>
      <c r="C43">
        <v>16</v>
      </c>
      <c r="F43" t="s">
        <v>53</v>
      </c>
      <c r="G43" t="s">
        <v>53</v>
      </c>
      <c r="J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53</v>
      </c>
      <c r="AA43" t="s">
        <v>53</v>
      </c>
      <c r="AB43" cm="1">
        <f t="array" ref="AB43">SUM(IF("X" = F43:AA43, 1, 0))</f>
        <v>16</v>
      </c>
      <c r="AC43" cm="1">
        <f t="array" ref="AC43">SUM(IF("?" = F43:AA43, 1, 0)) + AB43</f>
        <v>16</v>
      </c>
      <c r="AF43" t="b">
        <f t="shared" si="3"/>
        <v>0</v>
      </c>
      <c r="AG43" t="b">
        <f t="shared" si="4"/>
        <v>1</v>
      </c>
    </row>
    <row r="44" spans="1:33" x14ac:dyDescent="0.2">
      <c r="A44" t="s">
        <v>41</v>
      </c>
      <c r="B44">
        <v>13</v>
      </c>
      <c r="C44">
        <v>13</v>
      </c>
      <c r="F44" t="s">
        <v>53</v>
      </c>
      <c r="G44" t="s">
        <v>53</v>
      </c>
      <c r="J44" t="s">
        <v>53</v>
      </c>
      <c r="K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Y44" t="s">
        <v>53</v>
      </c>
      <c r="AA44" t="s">
        <v>53</v>
      </c>
      <c r="AB44" cm="1">
        <f t="array" ref="AB44">SUM(IF("X" = F44:AA44, 1, 0))</f>
        <v>13</v>
      </c>
      <c r="AC44" cm="1">
        <f t="array" ref="AC44">SUM(IF("?" = F44:AA44, 1, 0)) + AB44</f>
        <v>13</v>
      </c>
      <c r="AF44" t="b">
        <f t="shared" si="3"/>
        <v>1</v>
      </c>
      <c r="AG44" t="b">
        <f t="shared" si="4"/>
        <v>1</v>
      </c>
    </row>
    <row r="45" spans="1:33" x14ac:dyDescent="0.2">
      <c r="A45" t="s">
        <v>42</v>
      </c>
      <c r="B45">
        <v>12</v>
      </c>
      <c r="C45">
        <v>12</v>
      </c>
      <c r="D45" t="s">
        <v>43</v>
      </c>
      <c r="F45" t="s">
        <v>53</v>
      </c>
      <c r="J45" t="s">
        <v>53</v>
      </c>
      <c r="K45" t="s">
        <v>53</v>
      </c>
      <c r="L45" t="s">
        <v>53</v>
      </c>
      <c r="M45" t="s">
        <v>53</v>
      </c>
      <c r="P45" t="s">
        <v>53</v>
      </c>
      <c r="R45" t="s">
        <v>53</v>
      </c>
      <c r="U45" t="s">
        <v>53</v>
      </c>
      <c r="V45" t="s">
        <v>53</v>
      </c>
      <c r="W45" t="s">
        <v>53</v>
      </c>
      <c r="Z45" t="s">
        <v>53</v>
      </c>
      <c r="AA45" t="s">
        <v>53</v>
      </c>
      <c r="AB45" cm="1">
        <f t="array" ref="AB45">SUM(IF("X" = F45:AA45, 1, 0))</f>
        <v>12</v>
      </c>
      <c r="AC45" cm="1">
        <f t="array" ref="AC45">SUM(IF("?" = F45:AA45, 1, 0)) + AB45</f>
        <v>12</v>
      </c>
      <c r="AF45" t="b">
        <f t="shared" si="3"/>
        <v>1</v>
      </c>
      <c r="AG45" t="b">
        <f t="shared" si="4"/>
        <v>1</v>
      </c>
    </row>
    <row r="46" spans="1:33" x14ac:dyDescent="0.2">
      <c r="A46" t="s">
        <v>44</v>
      </c>
      <c r="B46">
        <v>19</v>
      </c>
      <c r="C46">
        <v>19</v>
      </c>
      <c r="F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R46" t="s">
        <v>53</v>
      </c>
      <c r="S46" t="s">
        <v>53</v>
      </c>
      <c r="T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53</v>
      </c>
      <c r="AA46" t="s">
        <v>53</v>
      </c>
      <c r="AB46" cm="1">
        <f t="array" ref="AB46">SUM(IF("X" = F46:AA46, 1, 0))</f>
        <v>19</v>
      </c>
      <c r="AC46" cm="1">
        <f t="array" ref="AC46">SUM(IF("?" = F46:AA46, 1, 0)) + AB46</f>
        <v>19</v>
      </c>
      <c r="AF46" t="b">
        <f t="shared" si="3"/>
        <v>1</v>
      </c>
      <c r="AG46" t="b">
        <f t="shared" si="4"/>
        <v>1</v>
      </c>
    </row>
    <row r="47" spans="1:33" x14ac:dyDescent="0.2">
      <c r="A47" t="s">
        <v>45</v>
      </c>
      <c r="B47">
        <v>11</v>
      </c>
      <c r="C47">
        <v>11</v>
      </c>
      <c r="F47" t="s">
        <v>53</v>
      </c>
      <c r="H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R47" t="s">
        <v>53</v>
      </c>
      <c r="T47" t="s">
        <v>53</v>
      </c>
      <c r="AB47" cm="1">
        <f t="array" ref="AB47">SUM(IF("X" = F47:AA47, 1, 0))</f>
        <v>11</v>
      </c>
      <c r="AC47" cm="1">
        <f t="array" ref="AC47">SUM(IF("?" = F47:AA47, 1, 0)) + AB47</f>
        <v>11</v>
      </c>
      <c r="AF47" t="b">
        <f t="shared" si="3"/>
        <v>1</v>
      </c>
      <c r="AG47" t="b">
        <f t="shared" si="4"/>
        <v>1</v>
      </c>
    </row>
    <row r="48" spans="1:33" x14ac:dyDescent="0.2">
      <c r="A48" t="s">
        <v>46</v>
      </c>
      <c r="B48">
        <v>15</v>
      </c>
      <c r="C48">
        <v>15</v>
      </c>
      <c r="F48" t="s">
        <v>53</v>
      </c>
      <c r="H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X48" t="s">
        <v>53</v>
      </c>
      <c r="AA48" t="s">
        <v>53</v>
      </c>
      <c r="AB48" cm="1">
        <f t="array" ref="AB48">SUM(IF("X" = F48:AA48, 1, 0))</f>
        <v>15</v>
      </c>
      <c r="AC48" cm="1">
        <f t="array" ref="AC48">SUM(IF("?" = F48:AA48, 1, 0)) + AB48</f>
        <v>15</v>
      </c>
      <c r="AF48" t="b">
        <f t="shared" si="3"/>
        <v>1</v>
      </c>
      <c r="AG48" t="b">
        <f t="shared" si="4"/>
        <v>1</v>
      </c>
    </row>
    <row r="49" spans="1:33" x14ac:dyDescent="0.2">
      <c r="A49" t="s">
        <v>47</v>
      </c>
      <c r="B49">
        <v>12</v>
      </c>
      <c r="C49">
        <v>12</v>
      </c>
      <c r="F49" t="s">
        <v>53</v>
      </c>
      <c r="G49" t="s">
        <v>53</v>
      </c>
      <c r="H49" t="s">
        <v>53</v>
      </c>
      <c r="I49" t="s">
        <v>53</v>
      </c>
      <c r="K49" t="s">
        <v>53</v>
      </c>
      <c r="L49" t="s">
        <v>53</v>
      </c>
      <c r="M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AB49" cm="1">
        <f t="array" ref="AB49">SUM(IF("X" = F49:AA49, 1, 0))</f>
        <v>12</v>
      </c>
      <c r="AC49" cm="1">
        <f t="array" ref="AC49">SUM(IF("?" = F49:AA49, 1, 0)) + AB49</f>
        <v>12</v>
      </c>
      <c r="AF49" t="b">
        <f t="shared" si="3"/>
        <v>1</v>
      </c>
      <c r="AG49" t="b">
        <f t="shared" si="4"/>
        <v>1</v>
      </c>
    </row>
    <row r="50" spans="1:33" x14ac:dyDescent="0.2">
      <c r="A50" t="s">
        <v>48</v>
      </c>
      <c r="B50">
        <v>20</v>
      </c>
      <c r="C50">
        <v>20</v>
      </c>
      <c r="F50" t="s">
        <v>53</v>
      </c>
      <c r="G50" t="s">
        <v>53</v>
      </c>
      <c r="H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53</v>
      </c>
      <c r="AA50" t="s">
        <v>53</v>
      </c>
      <c r="AB50" cm="1">
        <f t="array" ref="AB50">SUM(IF("X" = F50:AA50, 1, 0))</f>
        <v>20</v>
      </c>
      <c r="AC50" cm="1">
        <f t="array" ref="AC50">SUM(IF("?" = F50:AA50, 1, 0)) + AB50</f>
        <v>20</v>
      </c>
      <c r="AF50" t="b">
        <f t="shared" si="3"/>
        <v>1</v>
      </c>
      <c r="AG50" t="b">
        <f t="shared" si="4"/>
        <v>1</v>
      </c>
    </row>
    <row r="51" spans="1:33" x14ac:dyDescent="0.2">
      <c r="A51" t="s">
        <v>49</v>
      </c>
      <c r="B51">
        <v>9</v>
      </c>
      <c r="C51">
        <v>9</v>
      </c>
      <c r="P51" t="s">
        <v>53</v>
      </c>
      <c r="R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53</v>
      </c>
      <c r="AA51" t="s">
        <v>53</v>
      </c>
      <c r="AB51" cm="1">
        <f t="array" ref="AB51">SUM(IF("X" = F51:AA51, 1, 0))</f>
        <v>9</v>
      </c>
      <c r="AC51" cm="1">
        <f t="array" ref="AC51">SUM(IF("?" = F51:AA51, 1, 0)) + AB51</f>
        <v>9</v>
      </c>
      <c r="AF51" t="b">
        <f t="shared" si="3"/>
        <v>1</v>
      </c>
      <c r="AG51" t="b">
        <f t="shared" si="4"/>
        <v>1</v>
      </c>
    </row>
    <row r="52" spans="1:33" x14ac:dyDescent="0.2">
      <c r="A52" t="s">
        <v>50</v>
      </c>
      <c r="B52">
        <v>11</v>
      </c>
      <c r="C52">
        <v>11</v>
      </c>
      <c r="D52" t="s">
        <v>43</v>
      </c>
      <c r="F52" t="s">
        <v>53</v>
      </c>
      <c r="G52" t="s">
        <v>53</v>
      </c>
      <c r="H52" t="s">
        <v>53</v>
      </c>
      <c r="I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U52" t="s">
        <v>53</v>
      </c>
      <c r="X52" t="s">
        <v>53</v>
      </c>
      <c r="AB52" cm="1">
        <f t="array" ref="AB52">SUM(IF("X" = F52:AA52, 1, 0))</f>
        <v>11</v>
      </c>
      <c r="AC52" cm="1">
        <f t="array" ref="AC52">SUM(IF("?" = F52:AA52, 1, 0)) + AB52</f>
        <v>11</v>
      </c>
      <c r="AF52" t="b">
        <f t="shared" si="3"/>
        <v>1</v>
      </c>
      <c r="AG52" t="b">
        <f t="shared" si="4"/>
        <v>1</v>
      </c>
    </row>
    <row r="53" spans="1:33" x14ac:dyDescent="0.2">
      <c r="A53" t="s">
        <v>51</v>
      </c>
      <c r="B53">
        <v>19</v>
      </c>
      <c r="C53">
        <v>19</v>
      </c>
      <c r="F53" t="s">
        <v>53</v>
      </c>
      <c r="G53" t="s">
        <v>53</v>
      </c>
      <c r="I53" t="s">
        <v>53</v>
      </c>
      <c r="J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Y53" t="s">
        <v>53</v>
      </c>
      <c r="Z53" t="s">
        <v>53</v>
      </c>
      <c r="AA53" t="s">
        <v>53</v>
      </c>
      <c r="AB53" cm="1">
        <f t="array" ref="AB53">SUM(IF("X" = F53:AA53, 1, 0))</f>
        <v>19</v>
      </c>
      <c r="AC53" cm="1">
        <f t="array" ref="AC53">SUM(IF("?" = F53:AA53, 1, 0)) + AB53</f>
        <v>19</v>
      </c>
      <c r="AF53" t="b">
        <f t="shared" si="3"/>
        <v>1</v>
      </c>
      <c r="AG53" t="b">
        <f t="shared" si="4"/>
        <v>1</v>
      </c>
    </row>
    <row r="54" spans="1:33" x14ac:dyDescent="0.2">
      <c r="A54" t="s">
        <v>52</v>
      </c>
      <c r="B54">
        <v>14</v>
      </c>
      <c r="C54">
        <v>14</v>
      </c>
      <c r="F54" t="s">
        <v>53</v>
      </c>
      <c r="G54" t="s">
        <v>53</v>
      </c>
      <c r="K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W54" t="s">
        <v>53</v>
      </c>
      <c r="Z54" t="s">
        <v>53</v>
      </c>
      <c r="AA54" t="s">
        <v>53</v>
      </c>
      <c r="AB54" cm="1">
        <f t="array" ref="AB54">SUM(IF("X" = F54:AA54, 1, 0))</f>
        <v>14</v>
      </c>
      <c r="AC54" cm="1">
        <f t="array" ref="AC54">SUM(IF("?" = F54:AA54, 1, 0)) + AB54</f>
        <v>14</v>
      </c>
      <c r="AF54" t="b">
        <f t="shared" si="3"/>
        <v>1</v>
      </c>
      <c r="AG54" t="b">
        <f t="shared" si="4"/>
        <v>1</v>
      </c>
    </row>
    <row r="55" spans="1:33" x14ac:dyDescent="0.2">
      <c r="A55" t="s">
        <v>61</v>
      </c>
      <c r="B55">
        <v>18</v>
      </c>
      <c r="C55">
        <v>18</v>
      </c>
      <c r="F55" t="s">
        <v>53</v>
      </c>
      <c r="G55" t="s">
        <v>53</v>
      </c>
      <c r="I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53</v>
      </c>
      <c r="AB55" cm="1">
        <f t="array" ref="AB55">SUM(IF("X" = F55:AA55, 1, 0))</f>
        <v>18</v>
      </c>
      <c r="AC55" cm="1">
        <f t="array" ref="AC55">SUM(IF("?" = F55:AA55, 1, 0)) + AB55</f>
        <v>18</v>
      </c>
      <c r="AF55" t="b">
        <f t="shared" si="3"/>
        <v>1</v>
      </c>
      <c r="AG55" t="b">
        <f t="shared" si="4"/>
        <v>1</v>
      </c>
    </row>
    <row r="56" spans="1:33" x14ac:dyDescent="0.2">
      <c r="A56" t="s">
        <v>62</v>
      </c>
      <c r="B56">
        <v>17</v>
      </c>
      <c r="C56">
        <v>17</v>
      </c>
      <c r="F56" t="s">
        <v>53</v>
      </c>
      <c r="G56" t="s">
        <v>53</v>
      </c>
      <c r="H56" t="s">
        <v>53</v>
      </c>
      <c r="I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53</v>
      </c>
      <c r="AB56" cm="1">
        <f t="array" ref="AB56">SUM(IF("X" = F56:AA56, 1, 0))</f>
        <v>17</v>
      </c>
      <c r="AC56" cm="1">
        <f t="array" ref="AC56">SUM(IF("?" = F56:AA56, 1, 0)) + AB56</f>
        <v>17</v>
      </c>
      <c r="AF56" t="b">
        <f t="shared" si="3"/>
        <v>1</v>
      </c>
      <c r="AG56" t="b">
        <f t="shared" si="4"/>
        <v>1</v>
      </c>
    </row>
    <row r="57" spans="1:33" x14ac:dyDescent="0.2">
      <c r="A57" t="s">
        <v>63</v>
      </c>
      <c r="B57">
        <v>13</v>
      </c>
      <c r="C57">
        <v>13</v>
      </c>
      <c r="J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T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53</v>
      </c>
      <c r="AA57" t="s">
        <v>53</v>
      </c>
      <c r="AB57" cm="1">
        <f t="array" ref="AB57">SUM(IF("X" = F57:AA57, 1, 0))</f>
        <v>13</v>
      </c>
      <c r="AC57" cm="1">
        <f t="array" ref="AC57">SUM(IF("?" = F57:AA57, 1, 0)) + AB57</f>
        <v>13</v>
      </c>
      <c r="AF57" t="b">
        <f t="shared" si="3"/>
        <v>1</v>
      </c>
      <c r="AG57" t="b">
        <f t="shared" si="4"/>
        <v>1</v>
      </c>
    </row>
    <row r="58" spans="1:33" x14ac:dyDescent="0.2">
      <c r="B58">
        <f>AVERAGE(B37:B57)</f>
        <v>15.428571428571429</v>
      </c>
      <c r="C58">
        <f>AVERAGE(C37:C57)</f>
        <v>15.619047619047619</v>
      </c>
    </row>
    <row r="59" spans="1:33" x14ac:dyDescent="0.2">
      <c r="A59">
        <f>COUNTA(A37:A57)</f>
        <v>21</v>
      </c>
    </row>
    <row r="60" spans="1:33" x14ac:dyDescent="0.2">
      <c r="E60" t="s">
        <v>59</v>
      </c>
      <c r="F60" cm="1">
        <f t="array" ref="F60">SUM(IF("X"=F2:F34,1, 0))</f>
        <v>28</v>
      </c>
      <c r="G60" cm="1">
        <f t="array" ref="G60">SUM(IF("X"=G2:G34,1, 0))</f>
        <v>32</v>
      </c>
      <c r="H60" cm="1">
        <f t="array" ref="H60">SUM(IF("X"=H2:H34,1, 0))</f>
        <v>15</v>
      </c>
      <c r="I60" cm="1">
        <f t="array" ref="I60">SUM(IF("X"=I2:I34,1, 0))</f>
        <v>15</v>
      </c>
      <c r="J60" cm="1">
        <f t="array" ref="J60">SUM(IF("X"=J2:J34,1, 0))</f>
        <v>20</v>
      </c>
      <c r="K60" cm="1">
        <f t="array" ref="K60">SUM(IF("X"=K2:K34,1, 0))</f>
        <v>21</v>
      </c>
      <c r="L60" cm="1">
        <f t="array" ref="L60">SUM(IF("X"=L2:L34,1, 0))</f>
        <v>14</v>
      </c>
      <c r="M60" cm="1">
        <f t="array" ref="M60">SUM(IF("X"=M2:M34,1, 0))</f>
        <v>22</v>
      </c>
      <c r="N60" cm="1">
        <f t="array" ref="N60">SUM(IF("X"=N2:N34,1, 0))</f>
        <v>27</v>
      </c>
      <c r="O60" cm="1">
        <f t="array" ref="O60">SUM(IF("X"=O2:O34,1, 0))</f>
        <v>14</v>
      </c>
      <c r="P60" cm="1">
        <f t="array" ref="P60">SUM(IF("X"=P2:P34,1, 0))</f>
        <v>26</v>
      </c>
      <c r="Q60" cm="1">
        <f t="array" ref="Q60">SUM(IF("X"=Q2:Q34,1, 0))</f>
        <v>27</v>
      </c>
      <c r="R60" cm="1">
        <f t="array" ref="R60">SUM(IF("X"=R2:R34,1, 0))</f>
        <v>32</v>
      </c>
      <c r="S60" cm="1">
        <f t="array" ref="S60">SUM(IF("X"=S2:S34,1, 0))</f>
        <v>3</v>
      </c>
      <c r="T60" cm="1">
        <f t="array" ref="T60">SUM(IF("X"=T2:T34,1, 0))</f>
        <v>32</v>
      </c>
      <c r="U60" cm="1">
        <f t="array" ref="U60">SUM(IF("X"=U2:U34,1, 0))</f>
        <v>30</v>
      </c>
      <c r="V60" cm="1">
        <f t="array" ref="V60">SUM(IF("X"=V2:V34,1, 0))</f>
        <v>18</v>
      </c>
      <c r="W60" cm="1">
        <f t="array" ref="W60">SUM(IF("X"=W2:W34,1, 0))</f>
        <v>27</v>
      </c>
      <c r="X60" cm="1">
        <f t="array" ref="X60">SUM(IF("X"=X2:X34,1, 0))</f>
        <v>9</v>
      </c>
      <c r="Y60" cm="1">
        <f t="array" ref="Y60">SUM(IF("X"=Y2:Y34,1, 0))</f>
        <v>20</v>
      </c>
      <c r="Z60" cm="1">
        <f t="array" ref="Z60">SUM(IF("X"=Z2:Z34,1, 0))</f>
        <v>13</v>
      </c>
      <c r="AA60" cm="1">
        <f t="array" ref="AA60">SUM(IF("X"=AA2:AA34,1, 0))</f>
        <v>15</v>
      </c>
    </row>
    <row r="61" spans="1:33" x14ac:dyDescent="0.2">
      <c r="F61" s="1">
        <f>F60/33</f>
        <v>0.84848484848484851</v>
      </c>
      <c r="G61" s="1">
        <f t="shared" ref="G61:AA61" si="5">G60/33</f>
        <v>0.96969696969696972</v>
      </c>
      <c r="H61" s="1">
        <f t="shared" si="5"/>
        <v>0.45454545454545453</v>
      </c>
      <c r="I61" s="1">
        <f t="shared" si="5"/>
        <v>0.45454545454545453</v>
      </c>
      <c r="J61" s="1">
        <f t="shared" si="5"/>
        <v>0.60606060606060608</v>
      </c>
      <c r="K61" s="1">
        <f t="shared" si="5"/>
        <v>0.63636363636363635</v>
      </c>
      <c r="L61" s="1">
        <f t="shared" si="5"/>
        <v>0.42424242424242425</v>
      </c>
      <c r="M61" s="1">
        <f t="shared" si="5"/>
        <v>0.66666666666666663</v>
      </c>
      <c r="N61" s="1">
        <f t="shared" si="5"/>
        <v>0.81818181818181823</v>
      </c>
      <c r="O61" s="1">
        <f t="shared" si="5"/>
        <v>0.42424242424242425</v>
      </c>
      <c r="P61" s="1">
        <f t="shared" si="5"/>
        <v>0.78787878787878785</v>
      </c>
      <c r="Q61" s="1">
        <f t="shared" si="5"/>
        <v>0.81818181818181823</v>
      </c>
      <c r="R61" s="1">
        <f t="shared" si="5"/>
        <v>0.96969696969696972</v>
      </c>
      <c r="S61" s="1">
        <f t="shared" si="5"/>
        <v>9.0909090909090912E-2</v>
      </c>
      <c r="T61" s="1">
        <f t="shared" si="5"/>
        <v>0.96969696969696972</v>
      </c>
      <c r="U61" s="1">
        <f t="shared" si="5"/>
        <v>0.90909090909090906</v>
      </c>
      <c r="V61" s="1">
        <f t="shared" si="5"/>
        <v>0.54545454545454541</v>
      </c>
      <c r="W61" s="1">
        <f t="shared" si="5"/>
        <v>0.81818181818181823</v>
      </c>
      <c r="X61" s="1">
        <f t="shared" si="5"/>
        <v>0.27272727272727271</v>
      </c>
      <c r="Y61" s="1">
        <f t="shared" si="5"/>
        <v>0.60606060606060608</v>
      </c>
      <c r="Z61" s="1">
        <f t="shared" si="5"/>
        <v>0.39393939393939392</v>
      </c>
      <c r="AA61" s="1">
        <f t="shared" si="5"/>
        <v>0.45454545454545453</v>
      </c>
    </row>
    <row r="62" spans="1:33" x14ac:dyDescent="0.2">
      <c r="H62" t="s">
        <v>53</v>
      </c>
      <c r="I62" t="s">
        <v>53</v>
      </c>
      <c r="L62" t="s">
        <v>53</v>
      </c>
      <c r="O62" t="s">
        <v>53</v>
      </c>
      <c r="S62" t="s">
        <v>53</v>
      </c>
      <c r="X62" t="s">
        <v>53</v>
      </c>
      <c r="Z62" t="s">
        <v>53</v>
      </c>
      <c r="AA62" t="s">
        <v>53</v>
      </c>
    </row>
    <row r="63" spans="1:33" x14ac:dyDescent="0.2">
      <c r="E63" t="s">
        <v>60</v>
      </c>
      <c r="F63" cm="1">
        <f t="array" ref="F63">SUM(IF("X"=F37:F57,1, 0))</f>
        <v>19</v>
      </c>
      <c r="G63" cm="1">
        <f t="array" ref="G63">SUM(IF("X"=G37:G57,1, 0))</f>
        <v>15</v>
      </c>
      <c r="H63" cm="1">
        <f t="array" ref="H63">SUM(IF("X"=H37:H57,1, 0))</f>
        <v>11</v>
      </c>
      <c r="I63" cm="1">
        <f t="array" ref="I63">SUM(IF("X"=I37:I57,1, 0))</f>
        <v>11</v>
      </c>
      <c r="J63" cm="1">
        <f t="array" ref="J63">SUM(IF("X"=J37:J57,1, 0))</f>
        <v>14</v>
      </c>
      <c r="K63" cm="1">
        <f t="array" ref="K63">SUM(IF("X"=K37:K57,1, 0))</f>
        <v>15</v>
      </c>
      <c r="L63" cm="1">
        <f t="array" ref="L63">SUM(IF("X"=L37:L57,1, 0))</f>
        <v>13</v>
      </c>
      <c r="M63" cm="1">
        <f t="array" ref="M63">SUM(IF("X"=M37:M57,1, 0))</f>
        <v>14</v>
      </c>
      <c r="N63" cm="1">
        <f t="array" ref="N63">SUM(IF("X"=N37:N57,1, 0))</f>
        <v>15</v>
      </c>
      <c r="O63" cm="1">
        <f t="array" ref="O63">SUM(IF("X"=O37:O57,1, 0))</f>
        <v>18</v>
      </c>
      <c r="P63" cm="1">
        <f t="array" ref="P63">SUM(IF("X"=P37:P57,1, 0))</f>
        <v>21</v>
      </c>
      <c r="Q63" cm="1">
        <f t="array" ref="Q63">SUM(IF("X"=Q37:Q57,1, 0))</f>
        <v>17</v>
      </c>
      <c r="R63" cm="1">
        <f t="array" ref="R63">SUM(IF("X"=R37:R57,1, 0))</f>
        <v>20</v>
      </c>
      <c r="S63" cm="1">
        <f t="array" ref="S63">SUM(IF("X"=S37:S57,1, 0))</f>
        <v>13</v>
      </c>
      <c r="T63" cm="1">
        <f t="array" ref="T63">SUM(IF("X"=T37:T57,1, 0))</f>
        <v>11</v>
      </c>
      <c r="U63" cm="1">
        <f t="array" ref="U63">SUM(IF("X"=U37:U57,1, 0))</f>
        <v>12</v>
      </c>
      <c r="V63" cm="1">
        <f t="array" ref="V63">SUM(IF("X"=V37:V57,1, 0))</f>
        <v>14</v>
      </c>
      <c r="W63" cm="1">
        <f t="array" ref="W63">SUM(IF("X"=W37:W57,1, 0))</f>
        <v>16</v>
      </c>
      <c r="X63" cm="1">
        <f t="array" ref="X63">SUM(IF("X"=X37:X57,1, 0))</f>
        <v>12</v>
      </c>
      <c r="Y63" cm="1">
        <f t="array" ref="Y63">SUM(IF("X"=Y37:Y57,1, 0))</f>
        <v>15</v>
      </c>
      <c r="Z63" cm="1">
        <f t="array" ref="Z63">SUM(IF("X"=Z37:Z57,1, 0))</f>
        <v>16</v>
      </c>
      <c r="AA63" cm="1">
        <f t="array" ref="AA63">SUM(IF("X"=AA37:AA57,1, 0))</f>
        <v>16</v>
      </c>
    </row>
    <row r="64" spans="1:33" x14ac:dyDescent="0.2">
      <c r="F64" s="1">
        <f>F63/$A$59</f>
        <v>0.90476190476190477</v>
      </c>
      <c r="G64" s="1">
        <f t="shared" ref="G64:AA64" si="6">G63/$A$59</f>
        <v>0.7142857142857143</v>
      </c>
      <c r="H64" s="1">
        <f t="shared" si="6"/>
        <v>0.52380952380952384</v>
      </c>
      <c r="I64" s="1">
        <f t="shared" si="6"/>
        <v>0.52380952380952384</v>
      </c>
      <c r="J64" s="1">
        <f t="shared" si="6"/>
        <v>0.66666666666666663</v>
      </c>
      <c r="K64" s="1">
        <f t="shared" si="6"/>
        <v>0.7142857142857143</v>
      </c>
      <c r="L64" s="1">
        <f t="shared" si="6"/>
        <v>0.61904761904761907</v>
      </c>
      <c r="M64" s="1">
        <f t="shared" si="6"/>
        <v>0.66666666666666663</v>
      </c>
      <c r="N64" s="1">
        <f t="shared" si="6"/>
        <v>0.7142857142857143</v>
      </c>
      <c r="O64" s="1">
        <f t="shared" si="6"/>
        <v>0.8571428571428571</v>
      </c>
      <c r="P64" s="1">
        <f t="shared" si="6"/>
        <v>1</v>
      </c>
      <c r="Q64" s="1">
        <f t="shared" si="6"/>
        <v>0.80952380952380953</v>
      </c>
      <c r="R64" s="1">
        <f t="shared" si="6"/>
        <v>0.95238095238095233</v>
      </c>
      <c r="S64" s="1">
        <f t="shared" si="6"/>
        <v>0.61904761904761907</v>
      </c>
      <c r="T64" s="1">
        <f t="shared" si="6"/>
        <v>0.52380952380952384</v>
      </c>
      <c r="U64" s="1">
        <f t="shared" si="6"/>
        <v>0.5714285714285714</v>
      </c>
      <c r="V64" s="1">
        <f t="shared" si="6"/>
        <v>0.66666666666666663</v>
      </c>
      <c r="W64" s="1">
        <f t="shared" si="6"/>
        <v>0.76190476190476186</v>
      </c>
      <c r="X64" s="1">
        <f t="shared" si="6"/>
        <v>0.5714285714285714</v>
      </c>
      <c r="Y64" s="1">
        <f t="shared" si="6"/>
        <v>0.7142857142857143</v>
      </c>
      <c r="Z64" s="1">
        <f t="shared" si="6"/>
        <v>0.76190476190476186</v>
      </c>
      <c r="AA64" s="1">
        <f t="shared" si="6"/>
        <v>0.76190476190476186</v>
      </c>
    </row>
    <row r="66" spans="1:29" x14ac:dyDescent="0.2">
      <c r="A66" t="s">
        <v>58</v>
      </c>
      <c r="B66">
        <v>17</v>
      </c>
      <c r="C66">
        <v>21</v>
      </c>
      <c r="F66" t="s">
        <v>53</v>
      </c>
      <c r="G66" t="s">
        <v>53</v>
      </c>
      <c r="H66" t="s">
        <v>43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R66" t="s">
        <v>53</v>
      </c>
      <c r="S66" t="s">
        <v>43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53</v>
      </c>
      <c r="AA66" t="s">
        <v>53</v>
      </c>
      <c r="AB66" cm="1">
        <f t="array" ref="AB66">SUM(IF("X" = F66:AA66, 1, 0))</f>
        <v>19</v>
      </c>
      <c r="AC66" cm="1">
        <f t="array" ref="AC66">SUM(IF("?" = F66:AA66, 1, 0)) + AB66</f>
        <v>21</v>
      </c>
    </row>
    <row r="68" spans="1:29" x14ac:dyDescent="0.2">
      <c r="F68" s="1">
        <f>F64-F61</f>
        <v>5.6277056277056259E-2</v>
      </c>
      <c r="G68" s="2">
        <f t="shared" ref="G68:AA68" si="7">G64-G61</f>
        <v>-0.25541125541125542</v>
      </c>
      <c r="H68" s="1">
        <f t="shared" si="7"/>
        <v>6.9264069264069306E-2</v>
      </c>
      <c r="I68" s="1">
        <f t="shared" si="7"/>
        <v>6.9264069264069306E-2</v>
      </c>
      <c r="J68" s="1">
        <f t="shared" si="7"/>
        <v>6.0606060606060552E-2</v>
      </c>
      <c r="K68" s="1">
        <f t="shared" si="7"/>
        <v>7.7922077922077948E-2</v>
      </c>
      <c r="L68" s="1">
        <f t="shared" si="7"/>
        <v>0.19480519480519481</v>
      </c>
      <c r="M68" s="1">
        <f t="shared" si="7"/>
        <v>0</v>
      </c>
      <c r="N68" s="2">
        <f t="shared" si="7"/>
        <v>-0.10389610389610393</v>
      </c>
      <c r="O68" s="1">
        <f t="shared" si="7"/>
        <v>0.43290043290043284</v>
      </c>
      <c r="P68" s="1">
        <f t="shared" si="7"/>
        <v>0.21212121212121215</v>
      </c>
      <c r="Q68" s="2">
        <f t="shared" si="7"/>
        <v>-8.6580086580086979E-3</v>
      </c>
      <c r="R68" s="2">
        <f t="shared" si="7"/>
        <v>-1.7316017316017396E-2</v>
      </c>
      <c r="S68" s="1">
        <f t="shared" si="7"/>
        <v>0.52813852813852813</v>
      </c>
      <c r="T68" s="2">
        <f t="shared" si="7"/>
        <v>-0.44588744588744589</v>
      </c>
      <c r="U68" s="2">
        <f t="shared" si="7"/>
        <v>-0.33766233766233766</v>
      </c>
      <c r="V68" s="1">
        <f t="shared" si="7"/>
        <v>0.12121212121212122</v>
      </c>
      <c r="W68" s="2">
        <f t="shared" si="7"/>
        <v>-5.627705627705637E-2</v>
      </c>
      <c r="X68" s="1">
        <f t="shared" si="7"/>
        <v>0.29870129870129869</v>
      </c>
      <c r="Y68" s="1">
        <f t="shared" si="7"/>
        <v>0.10822510822510822</v>
      </c>
      <c r="Z68" s="1">
        <f t="shared" si="7"/>
        <v>0.36796536796536794</v>
      </c>
      <c r="AA68" s="1">
        <f t="shared" si="7"/>
        <v>0.30735930735930733</v>
      </c>
    </row>
    <row r="69" spans="1:29" x14ac:dyDescent="0.2">
      <c r="G69" t="s">
        <v>53</v>
      </c>
      <c r="N69" t="s">
        <v>53</v>
      </c>
      <c r="Q69" t="s">
        <v>53</v>
      </c>
      <c r="R69" t="s">
        <v>53</v>
      </c>
      <c r="T69" t="s">
        <v>53</v>
      </c>
      <c r="U69" t="s">
        <v>53</v>
      </c>
      <c r="W69" t="s">
        <v>53</v>
      </c>
    </row>
    <row r="72" spans="1:29" x14ac:dyDescent="0.2">
      <c r="F72" s="6">
        <f>(F64/F61)</f>
        <v>1.0663265306122449</v>
      </c>
      <c r="G72" s="6">
        <f t="shared" ref="G72:AA72" si="8">(G64/G61)</f>
        <v>0.7366071428571429</v>
      </c>
      <c r="H72" s="6">
        <f t="shared" si="8"/>
        <v>1.1523809523809525</v>
      </c>
      <c r="I72" s="6">
        <f t="shared" si="8"/>
        <v>1.1523809523809525</v>
      </c>
      <c r="J72" s="6">
        <f t="shared" si="8"/>
        <v>1.0999999999999999</v>
      </c>
      <c r="K72" s="6">
        <f t="shared" si="8"/>
        <v>1.1224489795918369</v>
      </c>
      <c r="L72" s="6">
        <f t="shared" si="8"/>
        <v>1.4591836734693877</v>
      </c>
      <c r="M72" s="6">
        <f t="shared" si="8"/>
        <v>1</v>
      </c>
      <c r="N72" s="6">
        <f t="shared" si="8"/>
        <v>0.87301587301587302</v>
      </c>
      <c r="O72" s="6">
        <f t="shared" si="8"/>
        <v>2.0204081632653059</v>
      </c>
      <c r="P72" s="6">
        <f t="shared" si="8"/>
        <v>1.2692307692307694</v>
      </c>
      <c r="Q72" s="6">
        <f t="shared" si="8"/>
        <v>0.98941798941798942</v>
      </c>
      <c r="R72" s="6">
        <f t="shared" si="8"/>
        <v>0.9821428571428571</v>
      </c>
      <c r="S72" s="6">
        <f t="shared" si="8"/>
        <v>6.8095238095238093</v>
      </c>
      <c r="T72" s="6">
        <f t="shared" si="8"/>
        <v>0.5401785714285714</v>
      </c>
      <c r="U72" s="6">
        <f t="shared" si="8"/>
        <v>0.62857142857142856</v>
      </c>
      <c r="V72" s="6">
        <f t="shared" si="8"/>
        <v>1.2222222222222223</v>
      </c>
      <c r="W72" s="6">
        <f t="shared" si="8"/>
        <v>0.93121693121693105</v>
      </c>
      <c r="X72" s="6">
        <f t="shared" si="8"/>
        <v>2.0952380952380953</v>
      </c>
      <c r="Y72" s="6">
        <f t="shared" si="8"/>
        <v>1.1785714285714286</v>
      </c>
      <c r="Z72" s="6">
        <f t="shared" si="8"/>
        <v>1.9340659340659341</v>
      </c>
      <c r="AA72" s="6">
        <f t="shared" si="8"/>
        <v>1.6761904761904762</v>
      </c>
      <c r="AC72">
        <f>PRODUCT((F72:AA72))</f>
        <v>86.126650163738518</v>
      </c>
    </row>
    <row r="74" spans="1:29" x14ac:dyDescent="0.2">
      <c r="F74">
        <f>((F60)/(33))/((F63)/($A$59))</f>
        <v>0.93779904306220097</v>
      </c>
      <c r="G74">
        <f t="shared" ref="G74:AA74" si="9">((G60)/(33))/((G63)/($A$59))</f>
        <v>1.3575757575757577</v>
      </c>
      <c r="H74">
        <f t="shared" si="9"/>
        <v>0.8677685950413222</v>
      </c>
      <c r="I74">
        <f t="shared" si="9"/>
        <v>0.8677685950413222</v>
      </c>
      <c r="J74">
        <f t="shared" si="9"/>
        <v>0.90909090909090917</v>
      </c>
      <c r="K74">
        <f t="shared" si="9"/>
        <v>0.89090909090909087</v>
      </c>
      <c r="L74">
        <f t="shared" si="9"/>
        <v>0.68531468531468531</v>
      </c>
      <c r="M74">
        <f t="shared" si="9"/>
        <v>1</v>
      </c>
      <c r="N74">
        <f t="shared" si="9"/>
        <v>1.1454545454545455</v>
      </c>
      <c r="O74">
        <f t="shared" si="9"/>
        <v>0.49494949494949497</v>
      </c>
      <c r="P74">
        <f t="shared" si="9"/>
        <v>0.78787878787878785</v>
      </c>
      <c r="Q74">
        <f t="shared" si="9"/>
        <v>1.0106951871657754</v>
      </c>
      <c r="R74">
        <f t="shared" si="9"/>
        <v>1.0181818181818183</v>
      </c>
      <c r="S74">
        <f t="shared" si="9"/>
        <v>0.14685314685314685</v>
      </c>
      <c r="T74">
        <f t="shared" si="9"/>
        <v>1.8512396694214877</v>
      </c>
      <c r="U74">
        <f t="shared" si="9"/>
        <v>1.5909090909090911</v>
      </c>
      <c r="V74">
        <f t="shared" si="9"/>
        <v>0.81818181818181812</v>
      </c>
      <c r="W74">
        <f t="shared" si="9"/>
        <v>1.0738636363636365</v>
      </c>
      <c r="X74">
        <f t="shared" si="9"/>
        <v>0.47727272727272724</v>
      </c>
      <c r="Y74">
        <f t="shared" si="9"/>
        <v>0.84848484848484851</v>
      </c>
      <c r="Z74">
        <f t="shared" si="9"/>
        <v>0.51704545454545459</v>
      </c>
      <c r="AA74">
        <f t="shared" si="9"/>
        <v>0.59659090909090906</v>
      </c>
      <c r="AC74">
        <f>PRODUCT((F74:AA74))</f>
        <v>1.1610808014695381E-2</v>
      </c>
    </row>
    <row r="75" spans="1:29" x14ac:dyDescent="0.2">
      <c r="F75">
        <f>((F60+1)/(33+2))/((F63+1)/($A$59+2))</f>
        <v>0.95285714285714296</v>
      </c>
      <c r="G75">
        <f t="shared" ref="G75:Z75" si="10">((G60+1)/(33+2))/((G63+1)/($A$59+2))</f>
        <v>1.3553571428571429</v>
      </c>
      <c r="H75">
        <f t="shared" si="10"/>
        <v>0.87619047619047619</v>
      </c>
      <c r="I75">
        <f t="shared" si="10"/>
        <v>0.87619047619047619</v>
      </c>
      <c r="J75">
        <f t="shared" si="10"/>
        <v>0.91999999999999993</v>
      </c>
      <c r="K75">
        <f t="shared" si="10"/>
        <v>0.90357142857142858</v>
      </c>
      <c r="L75">
        <f t="shared" si="10"/>
        <v>0.70408163265306112</v>
      </c>
      <c r="M75">
        <f t="shared" si="10"/>
        <v>1.0076190476190476</v>
      </c>
      <c r="N75">
        <f t="shared" si="10"/>
        <v>1.1500000000000001</v>
      </c>
      <c r="O75">
        <f t="shared" si="10"/>
        <v>0.51879699248120292</v>
      </c>
      <c r="P75">
        <f t="shared" si="10"/>
        <v>0.80649350649350648</v>
      </c>
      <c r="Q75">
        <f t="shared" si="10"/>
        <v>1.0222222222222221</v>
      </c>
      <c r="R75">
        <f t="shared" si="10"/>
        <v>1.0326530612244897</v>
      </c>
      <c r="S75">
        <f t="shared" si="10"/>
        <v>0.1877551020408163</v>
      </c>
      <c r="T75">
        <f t="shared" si="10"/>
        <v>1.8071428571428572</v>
      </c>
      <c r="U75">
        <f t="shared" si="10"/>
        <v>1.567032967032967</v>
      </c>
      <c r="V75">
        <f t="shared" si="10"/>
        <v>0.83238095238095233</v>
      </c>
      <c r="W75">
        <f t="shared" si="10"/>
        <v>1.0823529411764707</v>
      </c>
      <c r="X75">
        <f t="shared" si="10"/>
        <v>0.50549450549450547</v>
      </c>
      <c r="Y75">
        <f t="shared" si="10"/>
        <v>0.86250000000000004</v>
      </c>
      <c r="Z75">
        <f t="shared" si="10"/>
        <v>0.54117647058823537</v>
      </c>
      <c r="AA75">
        <f>((AA60+1)/(33+2))/((AA63+1)/($A$59+2))</f>
        <v>0.61848739495798322</v>
      </c>
      <c r="AC75">
        <f>PRODUCT((F75:AA75))</f>
        <v>2.0760744480713082E-2</v>
      </c>
    </row>
    <row r="78" spans="1:29" x14ac:dyDescent="0.2">
      <c r="F78">
        <f>1/((F63+1)/(F63+F60+2))</f>
        <v>2.4499999999999997</v>
      </c>
      <c r="G78">
        <f t="shared" ref="G78:Z78" si="11">1/((G63+1)/(G63+G60+2))</f>
        <v>3.0625000000000004</v>
      </c>
      <c r="H78">
        <f t="shared" si="11"/>
        <v>2.3333333333333335</v>
      </c>
      <c r="I78">
        <f t="shared" si="11"/>
        <v>2.3333333333333335</v>
      </c>
      <c r="J78">
        <f t="shared" si="11"/>
        <v>2.4</v>
      </c>
      <c r="K78">
        <f t="shared" si="11"/>
        <v>2.375</v>
      </c>
      <c r="L78">
        <f t="shared" si="11"/>
        <v>2.0714285714285712</v>
      </c>
      <c r="M78">
        <f t="shared" si="11"/>
        <v>2.5333333333333332</v>
      </c>
      <c r="N78">
        <f t="shared" si="11"/>
        <v>2.75</v>
      </c>
      <c r="O78">
        <f t="shared" si="11"/>
        <v>1.7894736842105263</v>
      </c>
      <c r="P78">
        <f t="shared" si="11"/>
        <v>2.2272727272727271</v>
      </c>
      <c r="Q78">
        <f t="shared" si="11"/>
        <v>2.5555555555555554</v>
      </c>
      <c r="R78">
        <f t="shared" si="11"/>
        <v>2.5714285714285712</v>
      </c>
      <c r="S78">
        <f t="shared" si="11"/>
        <v>1.2857142857142856</v>
      </c>
      <c r="T78">
        <f t="shared" si="11"/>
        <v>3.75</v>
      </c>
      <c r="U78">
        <f t="shared" si="11"/>
        <v>3.3846153846153846</v>
      </c>
      <c r="V78">
        <f t="shared" si="11"/>
        <v>2.2666666666666666</v>
      </c>
      <c r="W78">
        <f t="shared" si="11"/>
        <v>2.6470588235294117</v>
      </c>
      <c r="X78">
        <f t="shared" si="11"/>
        <v>1.7692307692307694</v>
      </c>
      <c r="Y78">
        <f t="shared" si="11"/>
        <v>2.3125</v>
      </c>
      <c r="Z78">
        <f t="shared" si="11"/>
        <v>1.8235294117647061</v>
      </c>
      <c r="AA78">
        <f>1/((AA63+1)/(AA63+AA60+2))</f>
        <v>1.9411764705882353</v>
      </c>
      <c r="AC78">
        <f>PRODUCT((F78:AA78))</f>
        <v>124797083.59682071</v>
      </c>
    </row>
    <row r="82" spans="6:29" x14ac:dyDescent="0.2">
      <c r="F82">
        <f ca="1">_xlfn.NORM.INV(RAND(),0,STDEV($F74:$AA74))</f>
        <v>0.28983548996925868</v>
      </c>
      <c r="G82">
        <f t="shared" ref="G82:AA82" ca="1" si="12">_xlfn.NORM.INV(RAND(),0,STDEV($F74:$AA74))</f>
        <v>9.8486767322177787E-2</v>
      </c>
      <c r="H82">
        <f t="shared" ca="1" si="12"/>
        <v>0.15716063043200237</v>
      </c>
      <c r="I82">
        <f t="shared" ca="1" si="12"/>
        <v>7.8615249645664895E-2</v>
      </c>
      <c r="J82">
        <f t="shared" ca="1" si="12"/>
        <v>-0.23513984938987617</v>
      </c>
      <c r="K82">
        <f t="shared" ca="1" si="12"/>
        <v>0.13962811551023058</v>
      </c>
      <c r="L82">
        <f t="shared" ca="1" si="12"/>
        <v>-0.63379966203537608</v>
      </c>
      <c r="M82">
        <f t="shared" ca="1" si="12"/>
        <v>6.4793090301792575E-2</v>
      </c>
      <c r="N82">
        <f t="shared" ca="1" si="12"/>
        <v>0.15108960119138318</v>
      </c>
      <c r="O82">
        <f t="shared" ca="1" si="12"/>
        <v>0.43561062542219925</v>
      </c>
      <c r="P82">
        <f t="shared" ca="1" si="12"/>
        <v>-0.25280899434883741</v>
      </c>
      <c r="Q82">
        <f t="shared" ca="1" si="12"/>
        <v>0.14972079782930953</v>
      </c>
      <c r="R82">
        <f t="shared" ca="1" si="12"/>
        <v>-0.15445048947204362</v>
      </c>
      <c r="S82">
        <f t="shared" ca="1" si="12"/>
        <v>-0.65132262038548294</v>
      </c>
      <c r="T82">
        <f t="shared" ca="1" si="12"/>
        <v>0.39777043677500196</v>
      </c>
      <c r="U82">
        <f t="shared" ca="1" si="12"/>
        <v>0.29874788490443188</v>
      </c>
      <c r="V82">
        <f t="shared" ca="1" si="12"/>
        <v>-0.22116851120660033</v>
      </c>
      <c r="W82">
        <f t="shared" ca="1" si="12"/>
        <v>2.8316082018179489E-2</v>
      </c>
      <c r="X82">
        <f t="shared" ca="1" si="12"/>
        <v>-0.12183709785744455</v>
      </c>
      <c r="Y82">
        <f t="shared" ca="1" si="12"/>
        <v>0.33844132850227487</v>
      </c>
      <c r="Z82">
        <f t="shared" ca="1" si="12"/>
        <v>1.2009983237953703</v>
      </c>
      <c r="AA82">
        <f t="shared" ca="1" si="12"/>
        <v>-0.59651660445854104</v>
      </c>
    </row>
    <row r="83" spans="6:29" x14ac:dyDescent="0.2">
      <c r="F83">
        <f ca="1">_xlfn.NORM.INV(RAND(),0,STDEV($F75:$AA75))</f>
        <v>0.16168866962525855</v>
      </c>
      <c r="G83">
        <f t="shared" ref="G83:AA83" ca="1" si="13">_xlfn.NORM.INV(RAND(),0,STDEV($F75:$AA75))</f>
        <v>8.7566325928564739E-2</v>
      </c>
      <c r="H83">
        <f t="shared" ca="1" si="13"/>
        <v>0.16238328986110834</v>
      </c>
      <c r="I83">
        <f t="shared" ca="1" si="13"/>
        <v>1.9608637823583016E-2</v>
      </c>
      <c r="J83">
        <f t="shared" ca="1" si="13"/>
        <v>-7.0450200285451514E-2</v>
      </c>
      <c r="K83">
        <f t="shared" ca="1" si="13"/>
        <v>-0.3475002151207976</v>
      </c>
      <c r="L83">
        <f t="shared" ca="1" si="13"/>
        <v>0.43377844575244867</v>
      </c>
      <c r="M83">
        <f t="shared" ca="1" si="13"/>
        <v>0.12897267830372583</v>
      </c>
      <c r="N83">
        <f t="shared" ca="1" si="13"/>
        <v>9.9332206628192282E-2</v>
      </c>
      <c r="O83">
        <f t="shared" ca="1" si="13"/>
        <v>-0.8798994110464522</v>
      </c>
      <c r="P83">
        <f t="shared" ca="1" si="13"/>
        <v>-0.408400494513114</v>
      </c>
      <c r="Q83">
        <f t="shared" ca="1" si="13"/>
        <v>-0.16915032631872087</v>
      </c>
      <c r="R83">
        <f t="shared" ca="1" si="13"/>
        <v>0.19284141564727433</v>
      </c>
      <c r="S83">
        <f t="shared" ca="1" si="13"/>
        <v>0.39373464097078198</v>
      </c>
      <c r="T83">
        <f t="shared" ca="1" si="13"/>
        <v>0.20722807422337006</v>
      </c>
      <c r="U83">
        <f t="shared" ca="1" si="13"/>
        <v>-0.12341834003082183</v>
      </c>
      <c r="V83">
        <f t="shared" ca="1" si="13"/>
        <v>5.2525580503257292E-2</v>
      </c>
      <c r="W83">
        <f t="shared" ca="1" si="13"/>
        <v>0.30893447075925551</v>
      </c>
      <c r="X83">
        <f t="shared" ca="1" si="13"/>
        <v>5.1706568899406287E-2</v>
      </c>
      <c r="Y83">
        <f t="shared" ca="1" si="13"/>
        <v>0.15179605087506839</v>
      </c>
      <c r="Z83">
        <f t="shared" ca="1" si="13"/>
        <v>0.70833907150305586</v>
      </c>
      <c r="AA83">
        <f t="shared" ca="1" si="13"/>
        <v>0.1792498793558007</v>
      </c>
    </row>
    <row r="85" spans="6:29" x14ac:dyDescent="0.2">
      <c r="AB85" t="s">
        <v>86</v>
      </c>
      <c r="AC85">
        <f ca="1">_xlfn.T.TEST(F74:AA74,F82:AA82,2,3)</f>
        <v>6.2872726381663512E-9</v>
      </c>
    </row>
    <row r="86" spans="6:29" x14ac:dyDescent="0.2">
      <c r="AC86">
        <f ca="1">_xlfn.T.TEST(F75:AA75,F83:AA83,2,3)</f>
        <v>2.242861411978585E-10</v>
      </c>
    </row>
    <row r="113" spans="6:8" x14ac:dyDescent="0.2">
      <c r="F113">
        <f ca="1">_xlfn.NORM.INV(RAND(),0,STDEV($F$74:$AA$74))</f>
        <v>0.40590960654807934</v>
      </c>
      <c r="H113">
        <f ca="1">_xlfn.T.TEST(F113:F346,F74:AA74,2,3)</f>
        <v>9.8513225597885033E-11</v>
      </c>
    </row>
    <row r="114" spans="6:8" x14ac:dyDescent="0.2">
      <c r="F114">
        <f t="shared" ref="F114:F177" ca="1" si="14">_xlfn.NORM.INV(RAND(),0,STDEV($F$74:$AA$74))</f>
        <v>0.44869175963874192</v>
      </c>
    </row>
    <row r="115" spans="6:8" x14ac:dyDescent="0.2">
      <c r="F115">
        <f t="shared" ca="1" si="14"/>
        <v>0.10065048953686832</v>
      </c>
    </row>
    <row r="116" spans="6:8" x14ac:dyDescent="0.2">
      <c r="F116">
        <f t="shared" ca="1" si="14"/>
        <v>-5.0441246917276627E-3</v>
      </c>
    </row>
    <row r="117" spans="6:8" x14ac:dyDescent="0.2">
      <c r="F117">
        <f t="shared" ca="1" si="14"/>
        <v>0.70683166847928514</v>
      </c>
    </row>
    <row r="118" spans="6:8" x14ac:dyDescent="0.2">
      <c r="F118">
        <f t="shared" ca="1" si="14"/>
        <v>0.29336065291946894</v>
      </c>
    </row>
    <row r="119" spans="6:8" x14ac:dyDescent="0.2">
      <c r="F119">
        <f t="shared" ca="1" si="14"/>
        <v>0.2050709926773682</v>
      </c>
    </row>
    <row r="120" spans="6:8" x14ac:dyDescent="0.2">
      <c r="F120">
        <f t="shared" ca="1" si="14"/>
        <v>0.42573315615397889</v>
      </c>
    </row>
    <row r="121" spans="6:8" x14ac:dyDescent="0.2">
      <c r="F121">
        <f t="shared" ca="1" si="14"/>
        <v>-0.80989735283850417</v>
      </c>
    </row>
    <row r="122" spans="6:8" x14ac:dyDescent="0.2">
      <c r="F122">
        <f t="shared" ca="1" si="14"/>
        <v>-0.20752521103306393</v>
      </c>
    </row>
    <row r="123" spans="6:8" x14ac:dyDescent="0.2">
      <c r="F123">
        <f t="shared" ca="1" si="14"/>
        <v>-0.53746482443269361</v>
      </c>
    </row>
    <row r="124" spans="6:8" x14ac:dyDescent="0.2">
      <c r="F124">
        <f t="shared" ca="1" si="14"/>
        <v>-0.38343427827957671</v>
      </c>
    </row>
    <row r="125" spans="6:8" x14ac:dyDescent="0.2">
      <c r="F125">
        <f t="shared" ca="1" si="14"/>
        <v>-6.9054286146396698E-3</v>
      </c>
    </row>
    <row r="126" spans="6:8" x14ac:dyDescent="0.2">
      <c r="F126">
        <f t="shared" ca="1" si="14"/>
        <v>-0.23043489266734998</v>
      </c>
    </row>
    <row r="127" spans="6:8" x14ac:dyDescent="0.2">
      <c r="F127">
        <f t="shared" ca="1" si="14"/>
        <v>0.73368484762915975</v>
      </c>
    </row>
    <row r="128" spans="6:8" x14ac:dyDescent="0.2">
      <c r="F128">
        <f t="shared" ca="1" si="14"/>
        <v>0.8223421033810735</v>
      </c>
    </row>
    <row r="129" spans="6:6" x14ac:dyDescent="0.2">
      <c r="F129">
        <f t="shared" ca="1" si="14"/>
        <v>0.30057749157854946</v>
      </c>
    </row>
    <row r="130" spans="6:6" x14ac:dyDescent="0.2">
      <c r="F130">
        <f t="shared" ca="1" si="14"/>
        <v>0.18826863227915702</v>
      </c>
    </row>
    <row r="131" spans="6:6" x14ac:dyDescent="0.2">
      <c r="F131">
        <f t="shared" ca="1" si="14"/>
        <v>0.11120045806115841</v>
      </c>
    </row>
    <row r="132" spans="6:6" x14ac:dyDescent="0.2">
      <c r="F132">
        <f t="shared" ca="1" si="14"/>
        <v>0.51482880041879919</v>
      </c>
    </row>
    <row r="133" spans="6:6" x14ac:dyDescent="0.2">
      <c r="F133">
        <f t="shared" ca="1" si="14"/>
        <v>-0.54993402753278708</v>
      </c>
    </row>
    <row r="134" spans="6:6" x14ac:dyDescent="0.2">
      <c r="F134">
        <f t="shared" ca="1" si="14"/>
        <v>-0.11518929452832068</v>
      </c>
    </row>
    <row r="135" spans="6:6" x14ac:dyDescent="0.2">
      <c r="F135">
        <f t="shared" ca="1" si="14"/>
        <v>2.8571362036824192E-3</v>
      </c>
    </row>
    <row r="136" spans="6:6" x14ac:dyDescent="0.2">
      <c r="F136">
        <f t="shared" ca="1" si="14"/>
        <v>0.32856419385815289</v>
      </c>
    </row>
    <row r="137" spans="6:6" x14ac:dyDescent="0.2">
      <c r="F137">
        <f t="shared" ca="1" si="14"/>
        <v>-7.546822280172101E-2</v>
      </c>
    </row>
    <row r="138" spans="6:6" x14ac:dyDescent="0.2">
      <c r="F138">
        <f t="shared" ca="1" si="14"/>
        <v>-0.19443199169806977</v>
      </c>
    </row>
    <row r="139" spans="6:6" x14ac:dyDescent="0.2">
      <c r="F139">
        <f t="shared" ca="1" si="14"/>
        <v>0.26696548207607057</v>
      </c>
    </row>
    <row r="140" spans="6:6" x14ac:dyDescent="0.2">
      <c r="F140">
        <f t="shared" ca="1" si="14"/>
        <v>0.20559650500078422</v>
      </c>
    </row>
    <row r="141" spans="6:6" x14ac:dyDescent="0.2">
      <c r="F141">
        <f t="shared" ca="1" si="14"/>
        <v>-0.38236437440321253</v>
      </c>
    </row>
    <row r="142" spans="6:6" x14ac:dyDescent="0.2">
      <c r="F142">
        <f t="shared" ca="1" si="14"/>
        <v>0.35516262332671328</v>
      </c>
    </row>
    <row r="143" spans="6:6" x14ac:dyDescent="0.2">
      <c r="F143">
        <f t="shared" ca="1" si="14"/>
        <v>-0.62755310512812101</v>
      </c>
    </row>
    <row r="144" spans="6:6" x14ac:dyDescent="0.2">
      <c r="F144">
        <f t="shared" ca="1" si="14"/>
        <v>-0.15954964494613774</v>
      </c>
    </row>
    <row r="145" spans="6:6" x14ac:dyDescent="0.2">
      <c r="F145">
        <f t="shared" ca="1" si="14"/>
        <v>0.16673750518781985</v>
      </c>
    </row>
    <row r="146" spans="6:6" x14ac:dyDescent="0.2">
      <c r="F146">
        <f t="shared" ca="1" si="14"/>
        <v>-0.16823318989645014</v>
      </c>
    </row>
    <row r="147" spans="6:6" x14ac:dyDescent="0.2">
      <c r="F147">
        <f t="shared" ca="1" si="14"/>
        <v>-0.88709759397351184</v>
      </c>
    </row>
    <row r="148" spans="6:6" x14ac:dyDescent="0.2">
      <c r="F148">
        <f t="shared" ca="1" si="14"/>
        <v>-0.24121937863178294</v>
      </c>
    </row>
    <row r="149" spans="6:6" x14ac:dyDescent="0.2">
      <c r="F149">
        <f t="shared" ca="1" si="14"/>
        <v>0.46401570406973569</v>
      </c>
    </row>
    <row r="150" spans="6:6" x14ac:dyDescent="0.2">
      <c r="F150">
        <f t="shared" ca="1" si="14"/>
        <v>0.47903072913235012</v>
      </c>
    </row>
    <row r="151" spans="6:6" x14ac:dyDescent="0.2">
      <c r="F151">
        <f t="shared" ca="1" si="14"/>
        <v>0.66261074008679177</v>
      </c>
    </row>
    <row r="152" spans="6:6" x14ac:dyDescent="0.2">
      <c r="F152">
        <f t="shared" ca="1" si="14"/>
        <v>0.41086819223655791</v>
      </c>
    </row>
    <row r="153" spans="6:6" x14ac:dyDescent="0.2">
      <c r="F153">
        <f t="shared" ca="1" si="14"/>
        <v>0.18515261484751408</v>
      </c>
    </row>
    <row r="154" spans="6:6" x14ac:dyDescent="0.2">
      <c r="F154">
        <f t="shared" ca="1" si="14"/>
        <v>-0.14435656764550492</v>
      </c>
    </row>
    <row r="155" spans="6:6" x14ac:dyDescent="0.2">
      <c r="F155">
        <f t="shared" ca="1" si="14"/>
        <v>0.47275268279657845</v>
      </c>
    </row>
    <row r="156" spans="6:6" x14ac:dyDescent="0.2">
      <c r="F156">
        <f t="shared" ca="1" si="14"/>
        <v>0.37592909176355627</v>
      </c>
    </row>
    <row r="157" spans="6:6" x14ac:dyDescent="0.2">
      <c r="F157">
        <f t="shared" ca="1" si="14"/>
        <v>4.7873679401158824E-2</v>
      </c>
    </row>
    <row r="158" spans="6:6" x14ac:dyDescent="0.2">
      <c r="F158">
        <f t="shared" ca="1" si="14"/>
        <v>-0.48491279283299904</v>
      </c>
    </row>
    <row r="159" spans="6:6" x14ac:dyDescent="0.2">
      <c r="F159">
        <f t="shared" ca="1" si="14"/>
        <v>0.59804122915805324</v>
      </c>
    </row>
    <row r="160" spans="6:6" x14ac:dyDescent="0.2">
      <c r="F160">
        <f t="shared" ca="1" si="14"/>
        <v>0.22723205053630025</v>
      </c>
    </row>
    <row r="161" spans="6:6" x14ac:dyDescent="0.2">
      <c r="F161">
        <f t="shared" ca="1" si="14"/>
        <v>-1.0048661112943982</v>
      </c>
    </row>
    <row r="162" spans="6:6" x14ac:dyDescent="0.2">
      <c r="F162">
        <f t="shared" ca="1" si="14"/>
        <v>0.17035322741602654</v>
      </c>
    </row>
    <row r="163" spans="6:6" x14ac:dyDescent="0.2">
      <c r="F163">
        <f t="shared" ca="1" si="14"/>
        <v>0.26669076104660039</v>
      </c>
    </row>
    <row r="164" spans="6:6" x14ac:dyDescent="0.2">
      <c r="F164">
        <f t="shared" ca="1" si="14"/>
        <v>0.18869432037157507</v>
      </c>
    </row>
    <row r="165" spans="6:6" x14ac:dyDescent="0.2">
      <c r="F165">
        <f t="shared" ca="1" si="14"/>
        <v>0.43828553480584903</v>
      </c>
    </row>
    <row r="166" spans="6:6" x14ac:dyDescent="0.2">
      <c r="F166">
        <f t="shared" ca="1" si="14"/>
        <v>-0.15738743400104782</v>
      </c>
    </row>
    <row r="167" spans="6:6" x14ac:dyDescent="0.2">
      <c r="F167">
        <f t="shared" ca="1" si="14"/>
        <v>-6.5329053468990331E-2</v>
      </c>
    </row>
    <row r="168" spans="6:6" x14ac:dyDescent="0.2">
      <c r="F168">
        <f t="shared" ca="1" si="14"/>
        <v>-7.5435699146045671E-2</v>
      </c>
    </row>
    <row r="169" spans="6:6" x14ac:dyDescent="0.2">
      <c r="F169">
        <f t="shared" ca="1" si="14"/>
        <v>0.48500261138786926</v>
      </c>
    </row>
    <row r="170" spans="6:6" x14ac:dyDescent="0.2">
      <c r="F170">
        <f t="shared" ca="1" si="14"/>
        <v>-0.19603714310881773</v>
      </c>
    </row>
    <row r="171" spans="6:6" x14ac:dyDescent="0.2">
      <c r="F171">
        <f t="shared" ca="1" si="14"/>
        <v>-0.24245438062227795</v>
      </c>
    </row>
    <row r="172" spans="6:6" x14ac:dyDescent="0.2">
      <c r="F172">
        <f t="shared" ca="1" si="14"/>
        <v>-5.8759643705498472E-2</v>
      </c>
    </row>
    <row r="173" spans="6:6" x14ac:dyDescent="0.2">
      <c r="F173">
        <f t="shared" ca="1" si="14"/>
        <v>0.11692771280342018</v>
      </c>
    </row>
    <row r="174" spans="6:6" x14ac:dyDescent="0.2">
      <c r="F174">
        <f t="shared" ca="1" si="14"/>
        <v>-9.9879104387332163E-2</v>
      </c>
    </row>
    <row r="175" spans="6:6" x14ac:dyDescent="0.2">
      <c r="F175">
        <f t="shared" ca="1" si="14"/>
        <v>0.20335233487589488</v>
      </c>
    </row>
    <row r="176" spans="6:6" x14ac:dyDescent="0.2">
      <c r="F176">
        <f t="shared" ca="1" si="14"/>
        <v>-0.509231622709726</v>
      </c>
    </row>
    <row r="177" spans="6:6" x14ac:dyDescent="0.2">
      <c r="F177">
        <f t="shared" ca="1" si="14"/>
        <v>5.9378483098045033E-2</v>
      </c>
    </row>
    <row r="178" spans="6:6" x14ac:dyDescent="0.2">
      <c r="F178">
        <f t="shared" ref="F178:F241" ca="1" si="15">_xlfn.NORM.INV(RAND(),0,STDEV($F$74:$AA$74))</f>
        <v>0.13601273600372224</v>
      </c>
    </row>
    <row r="179" spans="6:6" x14ac:dyDescent="0.2">
      <c r="F179">
        <f t="shared" ca="1" si="15"/>
        <v>-0.36559566017734352</v>
      </c>
    </row>
    <row r="180" spans="6:6" x14ac:dyDescent="0.2">
      <c r="F180">
        <f t="shared" ca="1" si="15"/>
        <v>0.2407803351373369</v>
      </c>
    </row>
    <row r="181" spans="6:6" x14ac:dyDescent="0.2">
      <c r="F181">
        <f t="shared" ca="1" si="15"/>
        <v>-0.21939498540968161</v>
      </c>
    </row>
    <row r="182" spans="6:6" x14ac:dyDescent="0.2">
      <c r="F182">
        <f t="shared" ca="1" si="15"/>
        <v>-0.15297773842357681</v>
      </c>
    </row>
    <row r="183" spans="6:6" x14ac:dyDescent="0.2">
      <c r="F183">
        <f t="shared" ca="1" si="15"/>
        <v>0.26552055096357408</v>
      </c>
    </row>
    <row r="184" spans="6:6" x14ac:dyDescent="0.2">
      <c r="F184">
        <f t="shared" ca="1" si="15"/>
        <v>-0.16164432420340336</v>
      </c>
    </row>
    <row r="185" spans="6:6" x14ac:dyDescent="0.2">
      <c r="F185">
        <f t="shared" ca="1" si="15"/>
        <v>-0.54868657508231111</v>
      </c>
    </row>
    <row r="186" spans="6:6" x14ac:dyDescent="0.2">
      <c r="F186">
        <f t="shared" ca="1" si="15"/>
        <v>-0.12985404711045809</v>
      </c>
    </row>
    <row r="187" spans="6:6" x14ac:dyDescent="0.2">
      <c r="F187">
        <f t="shared" ca="1" si="15"/>
        <v>9.6044880498594262E-2</v>
      </c>
    </row>
    <row r="188" spans="6:6" x14ac:dyDescent="0.2">
      <c r="F188">
        <f t="shared" ca="1" si="15"/>
        <v>5.9721344464843736E-2</v>
      </c>
    </row>
    <row r="189" spans="6:6" x14ac:dyDescent="0.2">
      <c r="F189">
        <f t="shared" ca="1" si="15"/>
        <v>0.21059393487887315</v>
      </c>
    </row>
    <row r="190" spans="6:6" x14ac:dyDescent="0.2">
      <c r="F190">
        <f t="shared" ca="1" si="15"/>
        <v>0.19579259479598432</v>
      </c>
    </row>
    <row r="191" spans="6:6" x14ac:dyDescent="0.2">
      <c r="F191">
        <f t="shared" ca="1" si="15"/>
        <v>0.401705920325028</v>
      </c>
    </row>
    <row r="192" spans="6:6" x14ac:dyDescent="0.2">
      <c r="F192">
        <f t="shared" ca="1" si="15"/>
        <v>0.78148199875074076</v>
      </c>
    </row>
    <row r="193" spans="6:6" x14ac:dyDescent="0.2">
      <c r="F193">
        <f t="shared" ca="1" si="15"/>
        <v>-0.42039799901144798</v>
      </c>
    </row>
    <row r="194" spans="6:6" x14ac:dyDescent="0.2">
      <c r="F194">
        <f t="shared" ca="1" si="15"/>
        <v>0.29239795800112828</v>
      </c>
    </row>
    <row r="195" spans="6:6" x14ac:dyDescent="0.2">
      <c r="F195">
        <f t="shared" ca="1" si="15"/>
        <v>4.7790634283385966E-2</v>
      </c>
    </row>
    <row r="196" spans="6:6" x14ac:dyDescent="0.2">
      <c r="F196">
        <f t="shared" ca="1" si="15"/>
        <v>0.67202800005808272</v>
      </c>
    </row>
    <row r="197" spans="6:6" x14ac:dyDescent="0.2">
      <c r="F197">
        <f t="shared" ca="1" si="15"/>
        <v>-0.15767664151227648</v>
      </c>
    </row>
    <row r="198" spans="6:6" x14ac:dyDescent="0.2">
      <c r="F198">
        <f t="shared" ca="1" si="15"/>
        <v>-0.60338744710135761</v>
      </c>
    </row>
    <row r="199" spans="6:6" x14ac:dyDescent="0.2">
      <c r="F199">
        <f t="shared" ca="1" si="15"/>
        <v>-0.55851363979845348</v>
      </c>
    </row>
    <row r="200" spans="6:6" x14ac:dyDescent="0.2">
      <c r="F200">
        <f t="shared" ca="1" si="15"/>
        <v>-0.23160674860218608</v>
      </c>
    </row>
    <row r="201" spans="6:6" x14ac:dyDescent="0.2">
      <c r="F201">
        <f t="shared" ca="1" si="15"/>
        <v>-0.13968344936041174</v>
      </c>
    </row>
    <row r="202" spans="6:6" x14ac:dyDescent="0.2">
      <c r="F202">
        <f t="shared" ca="1" si="15"/>
        <v>5.359834843333626E-2</v>
      </c>
    </row>
    <row r="203" spans="6:6" x14ac:dyDescent="0.2">
      <c r="F203">
        <f t="shared" ca="1" si="15"/>
        <v>-2.0581050160133445E-2</v>
      </c>
    </row>
    <row r="204" spans="6:6" x14ac:dyDescent="0.2">
      <c r="F204">
        <f t="shared" ca="1" si="15"/>
        <v>-0.10349551923646835</v>
      </c>
    </row>
    <row r="205" spans="6:6" x14ac:dyDescent="0.2">
      <c r="F205">
        <f t="shared" ca="1" si="15"/>
        <v>-0.67842609171857837</v>
      </c>
    </row>
    <row r="206" spans="6:6" x14ac:dyDescent="0.2">
      <c r="F206">
        <f t="shared" ca="1" si="15"/>
        <v>-0.59222563263219441</v>
      </c>
    </row>
    <row r="207" spans="6:6" x14ac:dyDescent="0.2">
      <c r="F207">
        <f t="shared" ca="1" si="15"/>
        <v>-0.3304607528288504</v>
      </c>
    </row>
    <row r="208" spans="6:6" x14ac:dyDescent="0.2">
      <c r="F208">
        <f t="shared" ca="1" si="15"/>
        <v>-0.44670360734549974</v>
      </c>
    </row>
    <row r="209" spans="6:6" x14ac:dyDescent="0.2">
      <c r="F209">
        <f t="shared" ca="1" si="15"/>
        <v>0.19666092649570588</v>
      </c>
    </row>
    <row r="210" spans="6:6" x14ac:dyDescent="0.2">
      <c r="F210">
        <f t="shared" ca="1" si="15"/>
        <v>-0.14430880456098083</v>
      </c>
    </row>
    <row r="211" spans="6:6" x14ac:dyDescent="0.2">
      <c r="F211">
        <f t="shared" ca="1" si="15"/>
        <v>0.38988141779596347</v>
      </c>
    </row>
    <row r="212" spans="6:6" x14ac:dyDescent="0.2">
      <c r="F212">
        <f t="shared" ca="1" si="15"/>
        <v>-0.85240641535800155</v>
      </c>
    </row>
    <row r="213" spans="6:6" x14ac:dyDescent="0.2">
      <c r="F213">
        <f t="shared" ca="1" si="15"/>
        <v>0.44862404824017893</v>
      </c>
    </row>
    <row r="214" spans="6:6" x14ac:dyDescent="0.2">
      <c r="F214">
        <f t="shared" ca="1" si="15"/>
        <v>0.72799115957038829</v>
      </c>
    </row>
    <row r="215" spans="6:6" x14ac:dyDescent="0.2">
      <c r="F215">
        <f t="shared" ca="1" si="15"/>
        <v>0.463998539615887</v>
      </c>
    </row>
    <row r="216" spans="6:6" x14ac:dyDescent="0.2">
      <c r="F216">
        <f t="shared" ca="1" si="15"/>
        <v>9.5869009967999047E-2</v>
      </c>
    </row>
    <row r="217" spans="6:6" x14ac:dyDescent="0.2">
      <c r="F217">
        <f t="shared" ca="1" si="15"/>
        <v>-9.1428652272770486E-2</v>
      </c>
    </row>
    <row r="218" spans="6:6" x14ac:dyDescent="0.2">
      <c r="F218">
        <f t="shared" ca="1" si="15"/>
        <v>0.23468281745611369</v>
      </c>
    </row>
    <row r="219" spans="6:6" x14ac:dyDescent="0.2">
      <c r="F219">
        <f t="shared" ca="1" si="15"/>
        <v>-2.9631430508579998E-3</v>
      </c>
    </row>
    <row r="220" spans="6:6" x14ac:dyDescent="0.2">
      <c r="F220">
        <f t="shared" ca="1" si="15"/>
        <v>8.8672276681806647E-2</v>
      </c>
    </row>
    <row r="221" spans="6:6" x14ac:dyDescent="0.2">
      <c r="F221">
        <f t="shared" ca="1" si="15"/>
        <v>0.14190538391724347</v>
      </c>
    </row>
    <row r="222" spans="6:6" x14ac:dyDescent="0.2">
      <c r="F222">
        <f t="shared" ca="1" si="15"/>
        <v>-0.4673792114733199</v>
      </c>
    </row>
    <row r="223" spans="6:6" x14ac:dyDescent="0.2">
      <c r="F223">
        <f t="shared" ca="1" si="15"/>
        <v>-7.2281366970183822E-2</v>
      </c>
    </row>
    <row r="224" spans="6:6" x14ac:dyDescent="0.2">
      <c r="F224">
        <f t="shared" ca="1" si="15"/>
        <v>-9.5441758968035253E-5</v>
      </c>
    </row>
    <row r="225" spans="6:6" x14ac:dyDescent="0.2">
      <c r="F225">
        <f t="shared" ca="1" si="15"/>
        <v>0.81490843247359168</v>
      </c>
    </row>
    <row r="226" spans="6:6" x14ac:dyDescent="0.2">
      <c r="F226">
        <f t="shared" ca="1" si="15"/>
        <v>-0.37185571860055977</v>
      </c>
    </row>
    <row r="227" spans="6:6" x14ac:dyDescent="0.2">
      <c r="F227">
        <f t="shared" ca="1" si="15"/>
        <v>-0.40510682378305413</v>
      </c>
    </row>
    <row r="228" spans="6:6" x14ac:dyDescent="0.2">
      <c r="F228">
        <f t="shared" ca="1" si="15"/>
        <v>0.49015742026756332</v>
      </c>
    </row>
    <row r="229" spans="6:6" x14ac:dyDescent="0.2">
      <c r="F229">
        <f t="shared" ca="1" si="15"/>
        <v>-0.36922669106963169</v>
      </c>
    </row>
    <row r="230" spans="6:6" x14ac:dyDescent="0.2">
      <c r="F230">
        <f t="shared" ca="1" si="15"/>
        <v>0.46572974221922875</v>
      </c>
    </row>
    <row r="231" spans="6:6" x14ac:dyDescent="0.2">
      <c r="F231">
        <f t="shared" ca="1" si="15"/>
        <v>0.33379947071174326</v>
      </c>
    </row>
    <row r="232" spans="6:6" x14ac:dyDescent="0.2">
      <c r="F232">
        <f t="shared" ca="1" si="15"/>
        <v>-0.10529043357019151</v>
      </c>
    </row>
    <row r="233" spans="6:6" x14ac:dyDescent="0.2">
      <c r="F233">
        <f t="shared" ca="1" si="15"/>
        <v>2.1478216163867421E-2</v>
      </c>
    </row>
    <row r="234" spans="6:6" x14ac:dyDescent="0.2">
      <c r="F234">
        <f t="shared" ca="1" si="15"/>
        <v>-0.34095218944517547</v>
      </c>
    </row>
    <row r="235" spans="6:6" x14ac:dyDescent="0.2">
      <c r="F235">
        <f t="shared" ca="1" si="15"/>
        <v>-0.18609155935130614</v>
      </c>
    </row>
    <row r="236" spans="6:6" x14ac:dyDescent="0.2">
      <c r="F236">
        <f t="shared" ca="1" si="15"/>
        <v>0.56510378470926192</v>
      </c>
    </row>
    <row r="237" spans="6:6" x14ac:dyDescent="0.2">
      <c r="F237">
        <f t="shared" ca="1" si="15"/>
        <v>-7.8434696861806957E-2</v>
      </c>
    </row>
    <row r="238" spans="6:6" x14ac:dyDescent="0.2">
      <c r="F238">
        <f t="shared" ca="1" si="15"/>
        <v>0.50268603059810568</v>
      </c>
    </row>
    <row r="239" spans="6:6" x14ac:dyDescent="0.2">
      <c r="F239">
        <f t="shared" ca="1" si="15"/>
        <v>0.11079717819023806</v>
      </c>
    </row>
    <row r="240" spans="6:6" x14ac:dyDescent="0.2">
      <c r="F240">
        <f t="shared" ca="1" si="15"/>
        <v>0.71978973151895509</v>
      </c>
    </row>
    <row r="241" spans="6:6" x14ac:dyDescent="0.2">
      <c r="F241">
        <f t="shared" ca="1" si="15"/>
        <v>-5.3395349117647255E-2</v>
      </c>
    </row>
    <row r="242" spans="6:6" x14ac:dyDescent="0.2">
      <c r="F242">
        <f t="shared" ref="F242:F305" ca="1" si="16">_xlfn.NORM.INV(RAND(),0,STDEV($F$74:$AA$74))</f>
        <v>-0.14220017218222611</v>
      </c>
    </row>
    <row r="243" spans="6:6" x14ac:dyDescent="0.2">
      <c r="F243">
        <f t="shared" ca="1" si="16"/>
        <v>-0.50308986323967042</v>
      </c>
    </row>
    <row r="244" spans="6:6" x14ac:dyDescent="0.2">
      <c r="F244">
        <f t="shared" ca="1" si="16"/>
        <v>3.5165429362377723E-3</v>
      </c>
    </row>
    <row r="245" spans="6:6" x14ac:dyDescent="0.2">
      <c r="F245">
        <f t="shared" ca="1" si="16"/>
        <v>1.310007719610381E-3</v>
      </c>
    </row>
    <row r="246" spans="6:6" x14ac:dyDescent="0.2">
      <c r="F246">
        <f t="shared" ca="1" si="16"/>
        <v>0.14270615040478637</v>
      </c>
    </row>
    <row r="247" spans="6:6" x14ac:dyDescent="0.2">
      <c r="F247">
        <f t="shared" ca="1" si="16"/>
        <v>0.40575071085007192</v>
      </c>
    </row>
    <row r="248" spans="6:6" x14ac:dyDescent="0.2">
      <c r="F248">
        <f t="shared" ca="1" si="16"/>
        <v>-0.21664372006145496</v>
      </c>
    </row>
    <row r="249" spans="6:6" x14ac:dyDescent="0.2">
      <c r="F249">
        <f t="shared" ca="1" si="16"/>
        <v>-0.48018703869627238</v>
      </c>
    </row>
    <row r="250" spans="6:6" x14ac:dyDescent="0.2">
      <c r="F250">
        <f t="shared" ca="1" si="16"/>
        <v>-0.55263489017360312</v>
      </c>
    </row>
    <row r="251" spans="6:6" x14ac:dyDescent="0.2">
      <c r="F251">
        <f t="shared" ca="1" si="16"/>
        <v>0.22165508544560814</v>
      </c>
    </row>
    <row r="252" spans="6:6" x14ac:dyDescent="0.2">
      <c r="F252">
        <f t="shared" ca="1" si="16"/>
        <v>-4.6687067505182603E-2</v>
      </c>
    </row>
    <row r="253" spans="6:6" x14ac:dyDescent="0.2">
      <c r="F253">
        <f t="shared" ca="1" si="16"/>
        <v>6.2801427686184172E-2</v>
      </c>
    </row>
    <row r="254" spans="6:6" x14ac:dyDescent="0.2">
      <c r="F254">
        <f t="shared" ca="1" si="16"/>
        <v>2.5462062732574085E-2</v>
      </c>
    </row>
    <row r="255" spans="6:6" x14ac:dyDescent="0.2">
      <c r="F255">
        <f t="shared" ca="1" si="16"/>
        <v>0.66914335426027227</v>
      </c>
    </row>
    <row r="256" spans="6:6" x14ac:dyDescent="0.2">
      <c r="F256">
        <f t="shared" ca="1" si="16"/>
        <v>0.89455493438789424</v>
      </c>
    </row>
    <row r="257" spans="6:6" x14ac:dyDescent="0.2">
      <c r="F257">
        <f t="shared" ca="1" si="16"/>
        <v>0.2921988972854237</v>
      </c>
    </row>
    <row r="258" spans="6:6" x14ac:dyDescent="0.2">
      <c r="F258">
        <f t="shared" ca="1" si="16"/>
        <v>0.43088988034452819</v>
      </c>
    </row>
    <row r="259" spans="6:6" x14ac:dyDescent="0.2">
      <c r="F259">
        <f t="shared" ca="1" si="16"/>
        <v>8.1103518531884439E-2</v>
      </c>
    </row>
    <row r="260" spans="6:6" x14ac:dyDescent="0.2">
      <c r="F260">
        <f t="shared" ca="1" si="16"/>
        <v>-0.10359801383100326</v>
      </c>
    </row>
    <row r="261" spans="6:6" x14ac:dyDescent="0.2">
      <c r="F261">
        <f t="shared" ca="1" si="16"/>
        <v>0.39224028276321438</v>
      </c>
    </row>
    <row r="262" spans="6:6" x14ac:dyDescent="0.2">
      <c r="F262">
        <f t="shared" ca="1" si="16"/>
        <v>-0.21018062381137992</v>
      </c>
    </row>
    <row r="263" spans="6:6" x14ac:dyDescent="0.2">
      <c r="F263">
        <f t="shared" ca="1" si="16"/>
        <v>-0.57784684741169767</v>
      </c>
    </row>
    <row r="264" spans="6:6" x14ac:dyDescent="0.2">
      <c r="F264">
        <f t="shared" ca="1" si="16"/>
        <v>0.5896878885715422</v>
      </c>
    </row>
    <row r="265" spans="6:6" x14ac:dyDescent="0.2">
      <c r="F265">
        <f t="shared" ca="1" si="16"/>
        <v>-0.39364869578601042</v>
      </c>
    </row>
    <row r="266" spans="6:6" x14ac:dyDescent="0.2">
      <c r="F266">
        <f t="shared" ca="1" si="16"/>
        <v>0.35836763948613443</v>
      </c>
    </row>
    <row r="267" spans="6:6" x14ac:dyDescent="0.2">
      <c r="F267">
        <f t="shared" ca="1" si="16"/>
        <v>-0.34731715100121263</v>
      </c>
    </row>
    <row r="268" spans="6:6" x14ac:dyDescent="0.2">
      <c r="F268">
        <f t="shared" ca="1" si="16"/>
        <v>0.1319854407218681</v>
      </c>
    </row>
    <row r="269" spans="6:6" x14ac:dyDescent="0.2">
      <c r="F269">
        <f t="shared" ca="1" si="16"/>
        <v>0.58658098287380633</v>
      </c>
    </row>
    <row r="270" spans="6:6" x14ac:dyDescent="0.2">
      <c r="F270">
        <f t="shared" ca="1" si="16"/>
        <v>-0.24095757852414754</v>
      </c>
    </row>
    <row r="271" spans="6:6" x14ac:dyDescent="0.2">
      <c r="F271">
        <f t="shared" ca="1" si="16"/>
        <v>-0.29024552496449119</v>
      </c>
    </row>
    <row r="272" spans="6:6" x14ac:dyDescent="0.2">
      <c r="F272">
        <f t="shared" ca="1" si="16"/>
        <v>-0.38659224856400393</v>
      </c>
    </row>
    <row r="273" spans="6:6" x14ac:dyDescent="0.2">
      <c r="F273">
        <f t="shared" ca="1" si="16"/>
        <v>0.46178321464393701</v>
      </c>
    </row>
    <row r="274" spans="6:6" x14ac:dyDescent="0.2">
      <c r="F274">
        <f t="shared" ca="1" si="16"/>
        <v>-4.0384848354376003E-3</v>
      </c>
    </row>
    <row r="275" spans="6:6" x14ac:dyDescent="0.2">
      <c r="F275">
        <f t="shared" ca="1" si="16"/>
        <v>-0.20148063738404454</v>
      </c>
    </row>
    <row r="276" spans="6:6" x14ac:dyDescent="0.2">
      <c r="F276">
        <f t="shared" ca="1" si="16"/>
        <v>-0.22879202294665954</v>
      </c>
    </row>
    <row r="277" spans="6:6" x14ac:dyDescent="0.2">
      <c r="F277">
        <f t="shared" ca="1" si="16"/>
        <v>-0.40935666888542233</v>
      </c>
    </row>
    <row r="278" spans="6:6" x14ac:dyDescent="0.2">
      <c r="F278">
        <f t="shared" ca="1" si="16"/>
        <v>-0.35836187396132868</v>
      </c>
    </row>
    <row r="279" spans="6:6" x14ac:dyDescent="0.2">
      <c r="F279">
        <f t="shared" ca="1" si="16"/>
        <v>-2.9156732293115547E-2</v>
      </c>
    </row>
    <row r="280" spans="6:6" x14ac:dyDescent="0.2">
      <c r="F280">
        <f t="shared" ca="1" si="16"/>
        <v>0.192114923632457</v>
      </c>
    </row>
    <row r="281" spans="6:6" x14ac:dyDescent="0.2">
      <c r="F281">
        <f t="shared" ca="1" si="16"/>
        <v>-0.21990655163065803</v>
      </c>
    </row>
    <row r="282" spans="6:6" x14ac:dyDescent="0.2">
      <c r="F282">
        <f t="shared" ca="1" si="16"/>
        <v>-0.27854016989048064</v>
      </c>
    </row>
    <row r="283" spans="6:6" x14ac:dyDescent="0.2">
      <c r="F283">
        <f t="shared" ca="1" si="16"/>
        <v>-0.19431548586601546</v>
      </c>
    </row>
    <row r="284" spans="6:6" x14ac:dyDescent="0.2">
      <c r="F284">
        <f t="shared" ca="1" si="16"/>
        <v>0.15277965966583043</v>
      </c>
    </row>
    <row r="285" spans="6:6" x14ac:dyDescent="0.2">
      <c r="F285">
        <f t="shared" ca="1" si="16"/>
        <v>0.15698262403576768</v>
      </c>
    </row>
    <row r="286" spans="6:6" x14ac:dyDescent="0.2">
      <c r="F286">
        <f t="shared" ca="1" si="16"/>
        <v>1.1769548702827838E-3</v>
      </c>
    </row>
    <row r="287" spans="6:6" x14ac:dyDescent="0.2">
      <c r="F287">
        <f t="shared" ca="1" si="16"/>
        <v>-3.0468290423791452E-2</v>
      </c>
    </row>
    <row r="288" spans="6:6" x14ac:dyDescent="0.2">
      <c r="F288">
        <f t="shared" ca="1" si="16"/>
        <v>-0.17590152094444533</v>
      </c>
    </row>
    <row r="289" spans="6:6" x14ac:dyDescent="0.2">
      <c r="F289">
        <f t="shared" ca="1" si="16"/>
        <v>-0.26025528563464739</v>
      </c>
    </row>
    <row r="290" spans="6:6" x14ac:dyDescent="0.2">
      <c r="F290">
        <f t="shared" ca="1" si="16"/>
        <v>-0.18286369156304444</v>
      </c>
    </row>
    <row r="291" spans="6:6" x14ac:dyDescent="0.2">
      <c r="F291">
        <f t="shared" ca="1" si="16"/>
        <v>0.18089818431545088</v>
      </c>
    </row>
    <row r="292" spans="6:6" x14ac:dyDescent="0.2">
      <c r="F292">
        <f t="shared" ca="1" si="16"/>
        <v>-0.17259885561537475</v>
      </c>
    </row>
    <row r="293" spans="6:6" x14ac:dyDescent="0.2">
      <c r="F293">
        <f t="shared" ca="1" si="16"/>
        <v>-0.47613068601277464</v>
      </c>
    </row>
    <row r="294" spans="6:6" x14ac:dyDescent="0.2">
      <c r="F294">
        <f t="shared" ca="1" si="16"/>
        <v>-6.1779859957263858E-2</v>
      </c>
    </row>
    <row r="295" spans="6:6" x14ac:dyDescent="0.2">
      <c r="F295">
        <f t="shared" ca="1" si="16"/>
        <v>3.8151970778433929E-2</v>
      </c>
    </row>
    <row r="296" spans="6:6" x14ac:dyDescent="0.2">
      <c r="F296">
        <f t="shared" ca="1" si="16"/>
        <v>-0.68844657356620631</v>
      </c>
    </row>
    <row r="297" spans="6:6" x14ac:dyDescent="0.2">
      <c r="F297">
        <f t="shared" ca="1" si="16"/>
        <v>-0.51866591107587323</v>
      </c>
    </row>
    <row r="298" spans="6:6" x14ac:dyDescent="0.2">
      <c r="F298">
        <f t="shared" ca="1" si="16"/>
        <v>0.46403484578115972</v>
      </c>
    </row>
    <row r="299" spans="6:6" x14ac:dyDescent="0.2">
      <c r="F299">
        <f t="shared" ca="1" si="16"/>
        <v>-0.31212293779172828</v>
      </c>
    </row>
    <row r="300" spans="6:6" x14ac:dyDescent="0.2">
      <c r="F300">
        <f t="shared" ca="1" si="16"/>
        <v>-0.52681692989865392</v>
      </c>
    </row>
    <row r="301" spans="6:6" x14ac:dyDescent="0.2">
      <c r="F301">
        <f t="shared" ca="1" si="16"/>
        <v>6.2910694510372081E-2</v>
      </c>
    </row>
    <row r="302" spans="6:6" x14ac:dyDescent="0.2">
      <c r="F302">
        <f t="shared" ca="1" si="16"/>
        <v>0.20249227165659156</v>
      </c>
    </row>
    <row r="303" spans="6:6" x14ac:dyDescent="0.2">
      <c r="F303">
        <f t="shared" ca="1" si="16"/>
        <v>0.72036031474023776</v>
      </c>
    </row>
    <row r="304" spans="6:6" x14ac:dyDescent="0.2">
      <c r="F304">
        <f t="shared" ca="1" si="16"/>
        <v>0.32242812090717404</v>
      </c>
    </row>
    <row r="305" spans="6:6" x14ac:dyDescent="0.2">
      <c r="F305">
        <f t="shared" ca="1" si="16"/>
        <v>-0.29405870638118603</v>
      </c>
    </row>
    <row r="306" spans="6:6" x14ac:dyDescent="0.2">
      <c r="F306">
        <f t="shared" ref="F306:F346" ca="1" si="17">_xlfn.NORM.INV(RAND(),0,STDEV($F$74:$AA$74))</f>
        <v>-0.46079433934413344</v>
      </c>
    </row>
    <row r="307" spans="6:6" x14ac:dyDescent="0.2">
      <c r="F307">
        <f t="shared" ca="1" si="17"/>
        <v>0.34477528709133193</v>
      </c>
    </row>
    <row r="308" spans="6:6" x14ac:dyDescent="0.2">
      <c r="F308">
        <f t="shared" ca="1" si="17"/>
        <v>0.21568651752794454</v>
      </c>
    </row>
    <row r="309" spans="6:6" x14ac:dyDescent="0.2">
      <c r="F309">
        <f t="shared" ca="1" si="17"/>
        <v>8.5561809469408695E-2</v>
      </c>
    </row>
    <row r="310" spans="6:6" x14ac:dyDescent="0.2">
      <c r="F310">
        <f t="shared" ca="1" si="17"/>
        <v>4.1984331225525577E-2</v>
      </c>
    </row>
    <row r="311" spans="6:6" x14ac:dyDescent="0.2">
      <c r="F311">
        <f t="shared" ca="1" si="17"/>
        <v>-0.27105736060309765</v>
      </c>
    </row>
    <row r="312" spans="6:6" x14ac:dyDescent="0.2">
      <c r="F312">
        <f t="shared" ca="1" si="17"/>
        <v>0.18630937498156197</v>
      </c>
    </row>
    <row r="313" spans="6:6" x14ac:dyDescent="0.2">
      <c r="F313">
        <f t="shared" ca="1" si="17"/>
        <v>0.29999523559469982</v>
      </c>
    </row>
    <row r="314" spans="6:6" x14ac:dyDescent="0.2">
      <c r="F314">
        <f t="shared" ca="1" si="17"/>
        <v>-0.1730260564150016</v>
      </c>
    </row>
    <row r="315" spans="6:6" x14ac:dyDescent="0.2">
      <c r="F315">
        <f t="shared" ca="1" si="17"/>
        <v>-0.22702465194938626</v>
      </c>
    </row>
    <row r="316" spans="6:6" x14ac:dyDescent="0.2">
      <c r="F316">
        <f t="shared" ca="1" si="17"/>
        <v>-0.23130823656382077</v>
      </c>
    </row>
    <row r="317" spans="6:6" x14ac:dyDescent="0.2">
      <c r="F317">
        <f t="shared" ca="1" si="17"/>
        <v>0.51528318372187421</v>
      </c>
    </row>
    <row r="318" spans="6:6" x14ac:dyDescent="0.2">
      <c r="F318">
        <f t="shared" ca="1" si="17"/>
        <v>-2.4370323367178981E-2</v>
      </c>
    </row>
    <row r="319" spans="6:6" x14ac:dyDescent="0.2">
      <c r="F319">
        <f t="shared" ca="1" si="17"/>
        <v>-0.36874265929705802</v>
      </c>
    </row>
    <row r="320" spans="6:6" x14ac:dyDescent="0.2">
      <c r="F320">
        <f t="shared" ca="1" si="17"/>
        <v>5.8264816733117369E-2</v>
      </c>
    </row>
    <row r="321" spans="6:6" x14ac:dyDescent="0.2">
      <c r="F321">
        <f t="shared" ca="1" si="17"/>
        <v>0.30091855338377899</v>
      </c>
    </row>
    <row r="322" spans="6:6" x14ac:dyDescent="0.2">
      <c r="F322">
        <f t="shared" ca="1" si="17"/>
        <v>0.3540137656860709</v>
      </c>
    </row>
    <row r="323" spans="6:6" x14ac:dyDescent="0.2">
      <c r="F323">
        <f t="shared" ca="1" si="17"/>
        <v>-0.15721554396855897</v>
      </c>
    </row>
    <row r="324" spans="6:6" x14ac:dyDescent="0.2">
      <c r="F324">
        <f t="shared" ca="1" si="17"/>
        <v>-0.32792257762608101</v>
      </c>
    </row>
    <row r="325" spans="6:6" x14ac:dyDescent="0.2">
      <c r="F325">
        <f t="shared" ca="1" si="17"/>
        <v>0.37571711833316185</v>
      </c>
    </row>
    <row r="326" spans="6:6" x14ac:dyDescent="0.2">
      <c r="F326">
        <f t="shared" ca="1" si="17"/>
        <v>-0.21012769819549421</v>
      </c>
    </row>
    <row r="327" spans="6:6" x14ac:dyDescent="0.2">
      <c r="F327">
        <f t="shared" ca="1" si="17"/>
        <v>-0.25029813727636452</v>
      </c>
    </row>
    <row r="328" spans="6:6" x14ac:dyDescent="0.2">
      <c r="F328">
        <f t="shared" ca="1" si="17"/>
        <v>0.35169510084420597</v>
      </c>
    </row>
    <row r="329" spans="6:6" x14ac:dyDescent="0.2">
      <c r="F329">
        <f t="shared" ca="1" si="17"/>
        <v>-0.18260309383469261</v>
      </c>
    </row>
    <row r="330" spans="6:6" x14ac:dyDescent="0.2">
      <c r="F330">
        <f t="shared" ca="1" si="17"/>
        <v>-0.31579333619779937</v>
      </c>
    </row>
    <row r="331" spans="6:6" x14ac:dyDescent="0.2">
      <c r="F331">
        <f t="shared" ca="1" si="17"/>
        <v>0.60160505401144038</v>
      </c>
    </row>
    <row r="332" spans="6:6" x14ac:dyDescent="0.2">
      <c r="F332">
        <f t="shared" ca="1" si="17"/>
        <v>-0.18822417206788755</v>
      </c>
    </row>
    <row r="333" spans="6:6" x14ac:dyDescent="0.2">
      <c r="F333">
        <f t="shared" ca="1" si="17"/>
        <v>0.19252949993518184</v>
      </c>
    </row>
    <row r="334" spans="6:6" x14ac:dyDescent="0.2">
      <c r="F334">
        <f t="shared" ca="1" si="17"/>
        <v>3.8770066731020958E-2</v>
      </c>
    </row>
    <row r="335" spans="6:6" x14ac:dyDescent="0.2">
      <c r="F335">
        <f t="shared" ca="1" si="17"/>
        <v>-0.56168179940655749</v>
      </c>
    </row>
    <row r="336" spans="6:6" x14ac:dyDescent="0.2">
      <c r="F336">
        <f t="shared" ca="1" si="17"/>
        <v>0.52502503585090221</v>
      </c>
    </row>
    <row r="337" spans="6:6" x14ac:dyDescent="0.2">
      <c r="F337">
        <f t="shared" ca="1" si="17"/>
        <v>0.60337346407985148</v>
      </c>
    </row>
    <row r="338" spans="6:6" x14ac:dyDescent="0.2">
      <c r="F338">
        <f t="shared" ca="1" si="17"/>
        <v>0.34545729004607062</v>
      </c>
    </row>
    <row r="339" spans="6:6" x14ac:dyDescent="0.2">
      <c r="F339">
        <f t="shared" ca="1" si="17"/>
        <v>0.27659980868677542</v>
      </c>
    </row>
    <row r="340" spans="6:6" x14ac:dyDescent="0.2">
      <c r="F340">
        <f t="shared" ca="1" si="17"/>
        <v>0.11929463410414332</v>
      </c>
    </row>
    <row r="341" spans="6:6" x14ac:dyDescent="0.2">
      <c r="F341">
        <f t="shared" ca="1" si="17"/>
        <v>0.36377622693780998</v>
      </c>
    </row>
    <row r="342" spans="6:6" x14ac:dyDescent="0.2">
      <c r="F342">
        <f t="shared" ca="1" si="17"/>
        <v>2.7442866873956702E-2</v>
      </c>
    </row>
    <row r="343" spans="6:6" x14ac:dyDescent="0.2">
      <c r="F343">
        <f t="shared" ca="1" si="17"/>
        <v>0.2905406643708871</v>
      </c>
    </row>
    <row r="344" spans="6:6" x14ac:dyDescent="0.2">
      <c r="F344">
        <f t="shared" ca="1" si="17"/>
        <v>5.1683766737368186E-2</v>
      </c>
    </row>
    <row r="345" spans="6:6" x14ac:dyDescent="0.2">
      <c r="F345">
        <f t="shared" ca="1" si="17"/>
        <v>-0.27720738006286882</v>
      </c>
    </row>
    <row r="346" spans="6:6" x14ac:dyDescent="0.2">
      <c r="F346">
        <f t="shared" ca="1" si="17"/>
        <v>-0.22478628013078109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1B32-3909-E142-A3E8-266C4CCE2280}">
  <dimension ref="B7:W26"/>
  <sheetViews>
    <sheetView zoomScale="130" zoomScaleNormal="130" workbookViewId="0">
      <selection activeCell="F35" sqref="F35"/>
    </sheetView>
  </sheetViews>
  <sheetFormatPr baseColWidth="10" defaultRowHeight="16" x14ac:dyDescent="0.2"/>
  <sheetData>
    <row r="7" spans="2:23" x14ac:dyDescent="0.2">
      <c r="B7">
        <v>5.6277056277056259E-2</v>
      </c>
      <c r="C7">
        <v>-0.25541125541125542</v>
      </c>
      <c r="D7">
        <v>6.9264069264069306E-2</v>
      </c>
      <c r="E7">
        <v>6.9264069264069306E-2</v>
      </c>
      <c r="F7">
        <v>6.0606060606060552E-2</v>
      </c>
      <c r="G7">
        <v>7.7922077922077948E-2</v>
      </c>
      <c r="H7">
        <v>0.19480519480519481</v>
      </c>
      <c r="I7">
        <v>0</v>
      </c>
      <c r="J7">
        <v>-0.10389610389610393</v>
      </c>
      <c r="K7">
        <v>0.43290043290043284</v>
      </c>
      <c r="L7">
        <v>0.21212121212121215</v>
      </c>
      <c r="M7">
        <v>-8.6580086580086979E-3</v>
      </c>
      <c r="N7">
        <v>-1.7316017316017396E-2</v>
      </c>
      <c r="O7">
        <v>0.52813852813852813</v>
      </c>
      <c r="P7">
        <v>-0.44588744588744589</v>
      </c>
      <c r="Q7">
        <v>-0.33766233766233766</v>
      </c>
      <c r="R7">
        <v>0.12121212121212122</v>
      </c>
      <c r="S7">
        <v>-5.627705627705637E-2</v>
      </c>
      <c r="T7">
        <v>0.29870129870129869</v>
      </c>
      <c r="U7">
        <v>0.10822510822510822</v>
      </c>
      <c r="V7">
        <v>0.36796536796536794</v>
      </c>
      <c r="W7">
        <v>0.30735930735930733</v>
      </c>
    </row>
    <row r="14" spans="2:23" x14ac:dyDescent="0.2">
      <c r="B14" t="s">
        <v>53</v>
      </c>
      <c r="C14" t="s">
        <v>53</v>
      </c>
      <c r="D14" t="s">
        <v>43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N14" t="s">
        <v>53</v>
      </c>
      <c r="O14" t="s">
        <v>43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</row>
    <row r="17" spans="2:23" x14ac:dyDescent="0.2">
      <c r="B17">
        <f>IF(B14="X",1,-1)</f>
        <v>1</v>
      </c>
      <c r="C17">
        <f t="shared" ref="C17:W17" si="0">IF(C14="X",1,-1)</f>
        <v>1</v>
      </c>
      <c r="D17">
        <f t="shared" si="0"/>
        <v>-1</v>
      </c>
      <c r="E17">
        <f t="shared" si="0"/>
        <v>1</v>
      </c>
      <c r="F17">
        <f t="shared" si="0"/>
        <v>1</v>
      </c>
      <c r="G17">
        <f t="shared" si="0"/>
        <v>1</v>
      </c>
      <c r="H17">
        <f t="shared" si="0"/>
        <v>1</v>
      </c>
      <c r="I17">
        <f t="shared" si="0"/>
        <v>1</v>
      </c>
      <c r="J17">
        <f t="shared" si="0"/>
        <v>1</v>
      </c>
      <c r="K17">
        <f t="shared" si="0"/>
        <v>1</v>
      </c>
      <c r="L17">
        <f t="shared" si="0"/>
        <v>1</v>
      </c>
      <c r="M17">
        <f t="shared" si="0"/>
        <v>-1</v>
      </c>
      <c r="N17">
        <f t="shared" si="0"/>
        <v>1</v>
      </c>
      <c r="O17">
        <f t="shared" si="0"/>
        <v>-1</v>
      </c>
      <c r="P17">
        <f t="shared" si="0"/>
        <v>1</v>
      </c>
      <c r="Q17">
        <f t="shared" si="0"/>
        <v>1</v>
      </c>
      <c r="R17">
        <f t="shared" si="0"/>
        <v>1</v>
      </c>
      <c r="S17">
        <f t="shared" si="0"/>
        <v>1</v>
      </c>
      <c r="T17">
        <f t="shared" si="0"/>
        <v>1</v>
      </c>
      <c r="U17">
        <f t="shared" si="0"/>
        <v>1</v>
      </c>
      <c r="V17">
        <f t="shared" si="0"/>
        <v>1</v>
      </c>
      <c r="W17">
        <f t="shared" si="0"/>
        <v>1</v>
      </c>
    </row>
    <row r="23" spans="2:23" x14ac:dyDescent="0.2">
      <c r="B23">
        <v>9.5959595959595911E-2</v>
      </c>
      <c r="C23">
        <v>-0.19191919191919193</v>
      </c>
      <c r="D23">
        <v>4.545454545454547E-2</v>
      </c>
      <c r="E23">
        <v>0.10101010101010105</v>
      </c>
      <c r="F23">
        <v>0.11616161616161613</v>
      </c>
      <c r="G23">
        <v>0.14141414141414144</v>
      </c>
      <c r="H23">
        <v>0.24242424242424238</v>
      </c>
      <c r="I23">
        <v>5.555555555555558E-2</v>
      </c>
      <c r="J23">
        <v>-4.0404040404040442E-2</v>
      </c>
      <c r="K23">
        <v>0.46464646464646459</v>
      </c>
      <c r="L23">
        <v>0.21212121212121215</v>
      </c>
      <c r="M23">
        <v>7.0707070707070607E-2</v>
      </c>
      <c r="N23">
        <v>-2.5252525252525304E-2</v>
      </c>
      <c r="O23">
        <v>0.57575757575757569</v>
      </c>
      <c r="P23">
        <v>-0.41414141414141414</v>
      </c>
      <c r="Q23">
        <v>-0.35353535353535348</v>
      </c>
      <c r="R23">
        <v>0.1767676767676768</v>
      </c>
      <c r="S23">
        <v>1.5151515151515138E-2</v>
      </c>
      <c r="T23">
        <v>0.28282828282828287</v>
      </c>
      <c r="U23">
        <v>0.17171717171717171</v>
      </c>
      <c r="V23">
        <v>0.43939393939393945</v>
      </c>
      <c r="W23">
        <v>0.37878787878787884</v>
      </c>
    </row>
    <row r="26" spans="2:23" x14ac:dyDescent="0.2">
      <c r="B26">
        <v>6.944444444444442E-2</v>
      </c>
      <c r="C26">
        <v>-0.19097222222222221</v>
      </c>
      <c r="D26">
        <v>3.125E-2</v>
      </c>
      <c r="E26">
        <v>8.680555555555558E-2</v>
      </c>
      <c r="F26">
        <v>0.12847222222222221</v>
      </c>
      <c r="G26">
        <v>0.12152777777777779</v>
      </c>
      <c r="H26">
        <v>0.22916666666666663</v>
      </c>
      <c r="I26">
        <v>3.472222222222221E-2</v>
      </c>
      <c r="J26">
        <v>-3.472222222222221E-2</v>
      </c>
      <c r="K26">
        <v>0.45138888888888884</v>
      </c>
      <c r="L26">
        <v>0.1875</v>
      </c>
      <c r="M26">
        <v>7.638888888888884E-2</v>
      </c>
      <c r="N26">
        <v>-2.430555555555558E-2</v>
      </c>
      <c r="O26">
        <v>0.57291666666666663</v>
      </c>
      <c r="P26">
        <v>-0.41319444444444442</v>
      </c>
      <c r="Q26">
        <v>-0.35069444444444442</v>
      </c>
      <c r="R26">
        <v>0.19097222222222221</v>
      </c>
      <c r="S26">
        <v>2.083333333333337E-2</v>
      </c>
      <c r="T26">
        <v>0.30555555555555558</v>
      </c>
      <c r="U26">
        <v>0.15277777777777779</v>
      </c>
      <c r="V26">
        <v>0.42708333333333337</v>
      </c>
      <c r="W26">
        <v>0.36458333333333337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4659-FB0C-394B-8807-F478EA049A34}">
  <dimension ref="A1:AG86"/>
  <sheetViews>
    <sheetView workbookViewId="0">
      <pane ySplit="1" topLeftCell="A40" activePane="bottomLeft" state="frozen"/>
      <selection pane="bottomLeft" activeCell="AA68" sqref="AA68"/>
    </sheetView>
  </sheetViews>
  <sheetFormatPr baseColWidth="10" defaultRowHeight="16" x14ac:dyDescent="0.2"/>
  <cols>
    <col min="1" max="1" width="19.6640625" bestFit="1" customWidth="1"/>
    <col min="2" max="2" width="11.33203125" bestFit="1" customWidth="1"/>
    <col min="3" max="3" width="11.6640625" bestFit="1" customWidth="1"/>
    <col min="6" max="7" width="10.83203125" customWidth="1"/>
    <col min="29" max="29" width="12.1640625" bestFit="1" customWidth="1"/>
  </cols>
  <sheetData>
    <row r="1" spans="1:33" s="3" customFormat="1" ht="19" x14ac:dyDescent="0.25">
      <c r="A1" s="3" t="s">
        <v>0</v>
      </c>
      <c r="B1" s="3" t="s">
        <v>1</v>
      </c>
      <c r="C1" s="3" t="s">
        <v>2</v>
      </c>
      <c r="F1" s="4">
        <v>1</v>
      </c>
      <c r="G1" s="4">
        <v>2</v>
      </c>
      <c r="H1" s="4">
        <v>3</v>
      </c>
      <c r="I1" s="4">
        <v>4</v>
      </c>
      <c r="J1" s="4">
        <v>5</v>
      </c>
      <c r="K1" s="4">
        <v>6</v>
      </c>
      <c r="L1" s="4">
        <v>7</v>
      </c>
      <c r="M1" s="4">
        <v>8</v>
      </c>
      <c r="N1" s="4">
        <v>9</v>
      </c>
      <c r="O1" s="4">
        <v>10</v>
      </c>
      <c r="P1" s="4">
        <v>11</v>
      </c>
      <c r="Q1" s="4">
        <v>12</v>
      </c>
      <c r="R1" s="4">
        <v>13</v>
      </c>
      <c r="S1" s="4">
        <v>14</v>
      </c>
      <c r="T1" s="4">
        <v>15</v>
      </c>
      <c r="U1" s="4">
        <v>16</v>
      </c>
      <c r="V1" s="4">
        <v>17</v>
      </c>
      <c r="W1" s="4">
        <v>18</v>
      </c>
      <c r="X1" s="4">
        <v>19</v>
      </c>
      <c r="Y1" s="4">
        <v>20</v>
      </c>
      <c r="Z1" s="4">
        <v>21</v>
      </c>
      <c r="AA1" s="4">
        <v>22</v>
      </c>
      <c r="AB1" s="3" t="s">
        <v>55</v>
      </c>
      <c r="AC1" s="3" t="s">
        <v>56</v>
      </c>
    </row>
    <row r="2" spans="1:33" x14ac:dyDescent="0.2">
      <c r="A2" t="s">
        <v>3</v>
      </c>
      <c r="B2">
        <v>15</v>
      </c>
      <c r="C2">
        <v>16</v>
      </c>
      <c r="I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43</v>
      </c>
      <c r="T2" t="s">
        <v>53</v>
      </c>
      <c r="U2" t="s">
        <v>53</v>
      </c>
      <c r="V2" t="s">
        <v>53</v>
      </c>
      <c r="W2" t="s">
        <v>53</v>
      </c>
      <c r="Y2" t="s">
        <v>53</v>
      </c>
      <c r="Z2" t="s">
        <v>53</v>
      </c>
      <c r="AB2" cm="1">
        <f t="array" ref="AB2">SUM(IF("X" = F2:AA2, 1, 0))</f>
        <v>15</v>
      </c>
      <c r="AC2" cm="1">
        <f t="array" ref="AC2">SUM(IF("?" = F2:AA2, 1, 0)) + AB2</f>
        <v>16</v>
      </c>
      <c r="AF2" t="b">
        <f>AB2=B2</f>
        <v>1</v>
      </c>
      <c r="AG2" t="b">
        <f>AC2=C2</f>
        <v>1</v>
      </c>
    </row>
    <row r="3" spans="1:33" x14ac:dyDescent="0.2">
      <c r="A3" t="s">
        <v>4</v>
      </c>
      <c r="B3">
        <v>10</v>
      </c>
      <c r="C3">
        <v>12</v>
      </c>
      <c r="G3" t="s">
        <v>53</v>
      </c>
      <c r="J3" t="s">
        <v>53</v>
      </c>
      <c r="N3" t="s">
        <v>53</v>
      </c>
      <c r="Q3" t="s">
        <v>53</v>
      </c>
      <c r="R3" t="s">
        <v>53</v>
      </c>
      <c r="S3" t="s">
        <v>43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AA3" t="s">
        <v>43</v>
      </c>
      <c r="AB3" cm="1">
        <f t="array" ref="AB3">SUM(IF("X" = F3:AA3, 1, 0))</f>
        <v>10</v>
      </c>
      <c r="AC3" cm="1">
        <f t="array" ref="AC3">SUM(IF("?" = F3:AA3, 1, 0)) + AB3</f>
        <v>12</v>
      </c>
      <c r="AF3" t="b">
        <f t="shared" ref="AF3:AG34" si="0">AB3=B3</f>
        <v>1</v>
      </c>
      <c r="AG3" t="b">
        <f t="shared" si="0"/>
        <v>1</v>
      </c>
    </row>
    <row r="4" spans="1:33" x14ac:dyDescent="0.2">
      <c r="A4" t="s">
        <v>5</v>
      </c>
      <c r="B4">
        <v>13</v>
      </c>
      <c r="C4">
        <v>13</v>
      </c>
      <c r="F4" t="s">
        <v>53</v>
      </c>
      <c r="G4" t="s">
        <v>53</v>
      </c>
      <c r="O4" t="s">
        <v>53</v>
      </c>
      <c r="P4" t="s">
        <v>53</v>
      </c>
      <c r="Q4" t="s">
        <v>53</v>
      </c>
      <c r="R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AA4" t="s">
        <v>53</v>
      </c>
      <c r="AB4" cm="1">
        <f t="array" ref="AB4">SUM(IF("X" = F4:AA4, 1, 0))</f>
        <v>13</v>
      </c>
      <c r="AC4" cm="1">
        <f t="array" ref="AC4">SUM(IF("?" = F4:AA4, 1, 0)) + AB4</f>
        <v>13</v>
      </c>
      <c r="AF4" t="b">
        <f t="shared" si="0"/>
        <v>1</v>
      </c>
      <c r="AG4" t="b">
        <f t="shared" si="0"/>
        <v>1</v>
      </c>
    </row>
    <row r="5" spans="1:33" x14ac:dyDescent="0.2">
      <c r="A5" t="s">
        <v>6</v>
      </c>
      <c r="B5">
        <v>19</v>
      </c>
      <c r="C5">
        <v>19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W5" t="s">
        <v>53</v>
      </c>
      <c r="X5" t="s">
        <v>53</v>
      </c>
      <c r="Y5" t="s">
        <v>53</v>
      </c>
      <c r="AA5" t="s">
        <v>53</v>
      </c>
      <c r="AB5" cm="1">
        <f t="array" ref="AB5">SUM(IF("X" = F5:AA5, 1, 0))</f>
        <v>19</v>
      </c>
      <c r="AC5" cm="1">
        <f t="array" ref="AC5">SUM(IF("?" = F5:AA5, 1, 0)) + AB5</f>
        <v>19</v>
      </c>
      <c r="AF5" t="b">
        <f t="shared" si="0"/>
        <v>1</v>
      </c>
      <c r="AG5" t="b">
        <f t="shared" si="0"/>
        <v>1</v>
      </c>
    </row>
    <row r="6" spans="1:33" x14ac:dyDescent="0.2">
      <c r="A6" t="s">
        <v>7</v>
      </c>
      <c r="B6">
        <v>12</v>
      </c>
      <c r="C6">
        <v>13</v>
      </c>
      <c r="G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O6" t="s">
        <v>43</v>
      </c>
      <c r="T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cm="1">
        <f t="array" ref="AB6">SUM(IF("X" = F6:AA6, 1, 0))</f>
        <v>12</v>
      </c>
      <c r="AC6" cm="1">
        <f t="array" ref="AC6">SUM(IF("?" = F6:AA6, 1, 0)) + AB6</f>
        <v>13</v>
      </c>
      <c r="AF6" t="b">
        <f t="shared" si="0"/>
        <v>1</v>
      </c>
      <c r="AG6" t="b">
        <f t="shared" si="0"/>
        <v>1</v>
      </c>
    </row>
    <row r="7" spans="1:33" x14ac:dyDescent="0.2">
      <c r="A7" t="s">
        <v>8</v>
      </c>
      <c r="B7">
        <v>16</v>
      </c>
      <c r="C7">
        <v>16</v>
      </c>
      <c r="G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R7" t="s">
        <v>53</v>
      </c>
      <c r="T7" t="s">
        <v>53</v>
      </c>
      <c r="U7" t="s">
        <v>53</v>
      </c>
      <c r="V7" t="s">
        <v>53</v>
      </c>
      <c r="W7" t="s">
        <v>53</v>
      </c>
      <c r="Y7" t="s">
        <v>53</v>
      </c>
      <c r="AA7" t="s">
        <v>53</v>
      </c>
      <c r="AB7" cm="1">
        <f t="array" ref="AB7">SUM(IF("X" = F7:AA7, 1, 0))</f>
        <v>16</v>
      </c>
      <c r="AC7" cm="1">
        <f t="array" ref="AC7">SUM(IF("?" = F7:AA7, 1, 0)) + AB7</f>
        <v>16</v>
      </c>
      <c r="AF7" t="b">
        <f t="shared" si="0"/>
        <v>1</v>
      </c>
      <c r="AG7" t="b">
        <f t="shared" si="0"/>
        <v>1</v>
      </c>
    </row>
    <row r="8" spans="1:33" x14ac:dyDescent="0.2">
      <c r="A8" t="s">
        <v>9</v>
      </c>
      <c r="B8">
        <v>12</v>
      </c>
      <c r="C8">
        <v>14</v>
      </c>
      <c r="F8" t="s">
        <v>53</v>
      </c>
      <c r="G8" t="s">
        <v>53</v>
      </c>
      <c r="H8" t="s">
        <v>53</v>
      </c>
      <c r="M8" t="s">
        <v>53</v>
      </c>
      <c r="N8" t="s">
        <v>53</v>
      </c>
      <c r="O8" t="s">
        <v>53</v>
      </c>
      <c r="Q8" t="s">
        <v>53</v>
      </c>
      <c r="R8" t="s">
        <v>53</v>
      </c>
      <c r="S8" t="s">
        <v>43</v>
      </c>
      <c r="T8" t="s">
        <v>53</v>
      </c>
      <c r="U8" t="s">
        <v>43</v>
      </c>
      <c r="V8" t="s">
        <v>53</v>
      </c>
      <c r="Y8" t="s">
        <v>53</v>
      </c>
      <c r="AA8" t="s">
        <v>53</v>
      </c>
      <c r="AB8" cm="1">
        <f t="array" ref="AB8">SUM(IF("X" = F8:AA8, 1, 0))</f>
        <v>12</v>
      </c>
      <c r="AC8" cm="1">
        <f t="array" ref="AC8">SUM(IF("?" = F8:AA8, 1, 0)) + AB8</f>
        <v>14</v>
      </c>
      <c r="AF8" t="b">
        <f t="shared" si="0"/>
        <v>1</v>
      </c>
      <c r="AG8" t="b">
        <f t="shared" si="0"/>
        <v>1</v>
      </c>
    </row>
    <row r="9" spans="1:33" x14ac:dyDescent="0.2">
      <c r="A9" t="s">
        <v>10</v>
      </c>
      <c r="B9">
        <v>17</v>
      </c>
      <c r="C9">
        <v>18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M9" t="s">
        <v>53</v>
      </c>
      <c r="N9" t="s">
        <v>53</v>
      </c>
      <c r="O9" t="s">
        <v>43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W9" t="s">
        <v>53</v>
      </c>
      <c r="Z9" t="s">
        <v>53</v>
      </c>
      <c r="AA9" t="s">
        <v>53</v>
      </c>
      <c r="AB9" cm="1">
        <f t="array" ref="AB9">SUM(IF("X" = F9:AA9, 1, 0))</f>
        <v>17</v>
      </c>
      <c r="AC9" cm="1">
        <f t="array" ref="AC9">SUM(IF("?" = F9:AA9, 1, 0)) + AB9</f>
        <v>18</v>
      </c>
      <c r="AF9" t="b">
        <f t="shared" si="0"/>
        <v>1</v>
      </c>
      <c r="AG9" t="b">
        <f t="shared" si="0"/>
        <v>1</v>
      </c>
    </row>
    <row r="10" spans="1:33" x14ac:dyDescent="0.2">
      <c r="A10" t="s">
        <v>54</v>
      </c>
      <c r="B10">
        <v>16</v>
      </c>
      <c r="C10">
        <v>19</v>
      </c>
      <c r="F10" t="s">
        <v>53</v>
      </c>
      <c r="G10" t="s">
        <v>53</v>
      </c>
      <c r="H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43</v>
      </c>
      <c r="P10" t="s">
        <v>53</v>
      </c>
      <c r="Q10" t="s">
        <v>53</v>
      </c>
      <c r="R10" t="s">
        <v>53</v>
      </c>
      <c r="S10" t="s">
        <v>43</v>
      </c>
      <c r="T10" t="s">
        <v>53</v>
      </c>
      <c r="U10" t="s">
        <v>53</v>
      </c>
      <c r="W10" t="s">
        <v>53</v>
      </c>
      <c r="X10" t="s">
        <v>53</v>
      </c>
      <c r="Y10" t="s">
        <v>53</v>
      </c>
      <c r="AA10" t="s">
        <v>43</v>
      </c>
      <c r="AB10" cm="1">
        <f t="array" ref="AB10">SUM(IF("X" = F10:AA10, 1, 0))</f>
        <v>16</v>
      </c>
      <c r="AC10" cm="1">
        <f t="array" ref="AC10">SUM(IF("?" = F10:AA10, 1, 0)) + AB10</f>
        <v>19</v>
      </c>
      <c r="AF10" t="b">
        <f t="shared" si="0"/>
        <v>1</v>
      </c>
      <c r="AG10" t="b">
        <f t="shared" si="0"/>
        <v>1</v>
      </c>
    </row>
    <row r="11" spans="1:33" x14ac:dyDescent="0.2">
      <c r="A11" t="s">
        <v>11</v>
      </c>
      <c r="B11">
        <v>14</v>
      </c>
      <c r="C11">
        <v>15</v>
      </c>
      <c r="F11" t="s">
        <v>53</v>
      </c>
      <c r="G11" t="s">
        <v>53</v>
      </c>
      <c r="H11" t="s">
        <v>53</v>
      </c>
      <c r="J11" t="s">
        <v>53</v>
      </c>
      <c r="K11" t="s">
        <v>53</v>
      </c>
      <c r="M11" t="s">
        <v>53</v>
      </c>
      <c r="Q11" t="s">
        <v>53</v>
      </c>
      <c r="R11" t="s">
        <v>53</v>
      </c>
      <c r="S11" t="s">
        <v>43</v>
      </c>
      <c r="T11" t="s">
        <v>53</v>
      </c>
      <c r="U11" t="s">
        <v>53</v>
      </c>
      <c r="W11" t="s">
        <v>53</v>
      </c>
      <c r="X11" t="s">
        <v>53</v>
      </c>
      <c r="Z11" t="s">
        <v>53</v>
      </c>
      <c r="AA11" t="s">
        <v>53</v>
      </c>
      <c r="AB11" cm="1">
        <f t="array" ref="AB11">SUM(IF("X" = F11:AA11, 1, 0))</f>
        <v>14</v>
      </c>
      <c r="AC11" cm="1">
        <f t="array" ref="AC11">SUM(IF("?" = F11:AA11, 1, 0)) + AB11</f>
        <v>15</v>
      </c>
      <c r="AF11" t="b">
        <f t="shared" si="0"/>
        <v>1</v>
      </c>
      <c r="AG11" t="b">
        <f t="shared" si="0"/>
        <v>1</v>
      </c>
    </row>
    <row r="12" spans="1:33" x14ac:dyDescent="0.2">
      <c r="A12" t="s">
        <v>12</v>
      </c>
      <c r="B12">
        <v>15</v>
      </c>
      <c r="C12">
        <v>17</v>
      </c>
      <c r="F12" t="s">
        <v>53</v>
      </c>
      <c r="G12" t="s">
        <v>53</v>
      </c>
      <c r="H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Q12" t="s">
        <v>53</v>
      </c>
      <c r="R12" t="s">
        <v>53</v>
      </c>
      <c r="S12" t="s">
        <v>43</v>
      </c>
      <c r="T12" t="s">
        <v>53</v>
      </c>
      <c r="U12" t="s">
        <v>53</v>
      </c>
      <c r="V12" t="s">
        <v>53</v>
      </c>
      <c r="W12" t="s">
        <v>53</v>
      </c>
      <c r="AA12" t="s">
        <v>43</v>
      </c>
      <c r="AB12" cm="1">
        <f t="array" ref="AB12">SUM(IF("X" = F12:AA12, 1, 0))</f>
        <v>15</v>
      </c>
      <c r="AC12" cm="1">
        <f t="array" ref="AC12">SUM(IF("?" = F12:AA12, 1, 0)) + AB12</f>
        <v>17</v>
      </c>
      <c r="AF12" t="b">
        <f t="shared" si="0"/>
        <v>1</v>
      </c>
      <c r="AG12" t="b">
        <f t="shared" si="0"/>
        <v>1</v>
      </c>
    </row>
    <row r="13" spans="1:33" x14ac:dyDescent="0.2">
      <c r="A13" t="s">
        <v>13</v>
      </c>
      <c r="B13">
        <v>13</v>
      </c>
      <c r="C13">
        <v>17</v>
      </c>
      <c r="F13" t="s">
        <v>53</v>
      </c>
      <c r="G13" t="s">
        <v>53</v>
      </c>
      <c r="I13" t="s">
        <v>53</v>
      </c>
      <c r="J13" t="s">
        <v>43</v>
      </c>
      <c r="K13" t="s">
        <v>53</v>
      </c>
      <c r="L13" t="s">
        <v>53</v>
      </c>
      <c r="M13" t="s">
        <v>53</v>
      </c>
      <c r="N13" t="s">
        <v>53</v>
      </c>
      <c r="P13" t="s">
        <v>53</v>
      </c>
      <c r="Q13" t="s">
        <v>53</v>
      </c>
      <c r="R13" t="s">
        <v>53</v>
      </c>
      <c r="S13" t="s">
        <v>43</v>
      </c>
      <c r="T13" t="s">
        <v>53</v>
      </c>
      <c r="U13" t="s">
        <v>53</v>
      </c>
      <c r="W13" t="s">
        <v>53</v>
      </c>
      <c r="Z13" t="s">
        <v>43</v>
      </c>
      <c r="AA13" t="s">
        <v>43</v>
      </c>
      <c r="AB13" cm="1">
        <f t="array" ref="AB13">SUM(IF("X" = F13:AA13, 1, 0))</f>
        <v>13</v>
      </c>
      <c r="AC13" cm="1">
        <f t="array" ref="AC13">SUM(IF("?" = F13:AA13, 1, 0)) + AB13</f>
        <v>17</v>
      </c>
      <c r="AF13" t="b">
        <f t="shared" si="0"/>
        <v>1</v>
      </c>
      <c r="AG13" t="b">
        <f t="shared" si="0"/>
        <v>1</v>
      </c>
    </row>
    <row r="14" spans="1:33" x14ac:dyDescent="0.2">
      <c r="A14" t="s">
        <v>57</v>
      </c>
      <c r="B14">
        <v>13</v>
      </c>
      <c r="C14">
        <v>15</v>
      </c>
      <c r="F14" t="s">
        <v>53</v>
      </c>
      <c r="G14" t="s">
        <v>53</v>
      </c>
      <c r="J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43</v>
      </c>
      <c r="T14" t="s">
        <v>53</v>
      </c>
      <c r="U14" t="s">
        <v>53</v>
      </c>
      <c r="V14" t="s">
        <v>53</v>
      </c>
      <c r="Y14" t="s">
        <v>53</v>
      </c>
      <c r="AA14" t="s">
        <v>43</v>
      </c>
      <c r="AB14" cm="1">
        <f t="array" ref="AB14">SUM(IF("X" = F14:AA14, 1, 0))</f>
        <v>13</v>
      </c>
      <c r="AC14" cm="1">
        <f t="array" ref="AC14">SUM(IF("?" = F14:AA14, 1, 0)) + AB14</f>
        <v>15</v>
      </c>
      <c r="AF14" t="b">
        <f t="shared" si="0"/>
        <v>1</v>
      </c>
      <c r="AG14" t="b">
        <f t="shared" si="0"/>
        <v>1</v>
      </c>
    </row>
    <row r="15" spans="1:33" x14ac:dyDescent="0.2">
      <c r="A15" t="s">
        <v>14</v>
      </c>
      <c r="B15">
        <v>13</v>
      </c>
      <c r="C15">
        <v>15</v>
      </c>
      <c r="F15" t="s">
        <v>53</v>
      </c>
      <c r="G15" t="s">
        <v>53</v>
      </c>
      <c r="J15" t="s">
        <v>53</v>
      </c>
      <c r="K15" t="s">
        <v>53</v>
      </c>
      <c r="N15" t="s">
        <v>53</v>
      </c>
      <c r="O15" t="s">
        <v>43</v>
      </c>
      <c r="P15" t="s">
        <v>53</v>
      </c>
      <c r="Q15" t="s">
        <v>53</v>
      </c>
      <c r="R15" t="s">
        <v>53</v>
      </c>
      <c r="T15" t="s">
        <v>53</v>
      </c>
      <c r="U15" t="s">
        <v>53</v>
      </c>
      <c r="W15" t="s">
        <v>53</v>
      </c>
      <c r="X15" t="s">
        <v>53</v>
      </c>
      <c r="Y15" t="s">
        <v>53</v>
      </c>
      <c r="AA15" t="s">
        <v>43</v>
      </c>
      <c r="AB15" cm="1">
        <f t="array" ref="AB15">SUM(IF("X" = F15:AA15, 1, 0))</f>
        <v>13</v>
      </c>
      <c r="AC15" cm="1">
        <f t="array" ref="AC15">SUM(IF("?" = F15:AA15, 1, 0)) + AB15</f>
        <v>15</v>
      </c>
      <c r="AF15" t="b">
        <f t="shared" si="0"/>
        <v>1</v>
      </c>
      <c r="AG15" t="b">
        <f t="shared" si="0"/>
        <v>1</v>
      </c>
    </row>
    <row r="16" spans="1:33" x14ac:dyDescent="0.2">
      <c r="A16" t="s">
        <v>15</v>
      </c>
      <c r="B16">
        <v>14</v>
      </c>
      <c r="C16">
        <v>17</v>
      </c>
      <c r="F16" t="s">
        <v>53</v>
      </c>
      <c r="G16" t="s">
        <v>53</v>
      </c>
      <c r="H16" t="s">
        <v>53</v>
      </c>
      <c r="I16" t="s">
        <v>53</v>
      </c>
      <c r="K16" t="s">
        <v>53</v>
      </c>
      <c r="M16" t="s">
        <v>53</v>
      </c>
      <c r="N16" t="s">
        <v>53</v>
      </c>
      <c r="O16" t="s">
        <v>43</v>
      </c>
      <c r="P16" t="s">
        <v>53</v>
      </c>
      <c r="Q16" t="s">
        <v>53</v>
      </c>
      <c r="R16" t="s">
        <v>53</v>
      </c>
      <c r="T16" t="s">
        <v>53</v>
      </c>
      <c r="U16" t="s">
        <v>53</v>
      </c>
      <c r="V16" t="s">
        <v>43</v>
      </c>
      <c r="W16" t="s">
        <v>53</v>
      </c>
      <c r="Y16" t="s">
        <v>53</v>
      </c>
      <c r="AA16" t="s">
        <v>43</v>
      </c>
      <c r="AB16" cm="1">
        <f t="array" ref="AB16">SUM(IF("X" = F16:AA16, 1, 0))</f>
        <v>14</v>
      </c>
      <c r="AC16" cm="1">
        <f t="array" ref="AC16">SUM(IF("?" = F16:AA16, 1, 0)) + AB16</f>
        <v>17</v>
      </c>
      <c r="AF16" t="b">
        <f t="shared" si="0"/>
        <v>1</v>
      </c>
      <c r="AG16" t="b">
        <f t="shared" si="0"/>
        <v>1</v>
      </c>
    </row>
    <row r="17" spans="1:33" x14ac:dyDescent="0.2">
      <c r="A17" t="s">
        <v>16</v>
      </c>
      <c r="B17">
        <v>12</v>
      </c>
      <c r="C17">
        <v>14</v>
      </c>
      <c r="F17" t="s">
        <v>53</v>
      </c>
      <c r="G17" t="s">
        <v>53</v>
      </c>
      <c r="J17" t="s">
        <v>53</v>
      </c>
      <c r="M17" t="s">
        <v>53</v>
      </c>
      <c r="N17" t="s">
        <v>53</v>
      </c>
      <c r="O17" t="s">
        <v>43</v>
      </c>
      <c r="P17" t="s">
        <v>53</v>
      </c>
      <c r="Q17" t="s">
        <v>53</v>
      </c>
      <c r="R17" t="s">
        <v>53</v>
      </c>
      <c r="S17" t="s">
        <v>43</v>
      </c>
      <c r="T17" t="s">
        <v>53</v>
      </c>
      <c r="U17" t="s">
        <v>53</v>
      </c>
      <c r="W17" t="s">
        <v>53</v>
      </c>
      <c r="AA17" t="s">
        <v>53</v>
      </c>
      <c r="AB17" cm="1">
        <f t="array" ref="AB17">SUM(IF("X" = F17:AA17, 1, 0))</f>
        <v>12</v>
      </c>
      <c r="AC17" cm="1">
        <f t="array" ref="AC17">SUM(IF("?" = F17:AA17, 1, 0)) + AB17</f>
        <v>14</v>
      </c>
      <c r="AF17" t="b">
        <f t="shared" si="0"/>
        <v>1</v>
      </c>
      <c r="AG17" t="b">
        <f t="shared" si="0"/>
        <v>1</v>
      </c>
    </row>
    <row r="18" spans="1:33" x14ac:dyDescent="0.2">
      <c r="A18" t="s">
        <v>17</v>
      </c>
      <c r="B18">
        <v>12</v>
      </c>
      <c r="C18">
        <v>12</v>
      </c>
      <c r="G18" t="s">
        <v>53</v>
      </c>
      <c r="K18" t="s">
        <v>53</v>
      </c>
      <c r="M18" t="s">
        <v>53</v>
      </c>
      <c r="N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W18" t="s">
        <v>53</v>
      </c>
      <c r="Y18" t="s">
        <v>53</v>
      </c>
      <c r="AB18" cm="1">
        <f t="array" ref="AB18">SUM(IF("X" = F18:AA18, 1, 0))</f>
        <v>12</v>
      </c>
      <c r="AC18" cm="1">
        <f t="array" ref="AC18">SUM(IF("?" = F18:AA18, 1, 0)) + AB18</f>
        <v>12</v>
      </c>
      <c r="AF18" t="b">
        <f t="shared" si="0"/>
        <v>1</v>
      </c>
      <c r="AG18" t="b">
        <f t="shared" si="0"/>
        <v>1</v>
      </c>
    </row>
    <row r="19" spans="1:33" x14ac:dyDescent="0.2">
      <c r="A19" t="s">
        <v>18</v>
      </c>
      <c r="B19">
        <v>14</v>
      </c>
      <c r="C19">
        <v>15</v>
      </c>
      <c r="F19" t="s">
        <v>53</v>
      </c>
      <c r="G19" t="s">
        <v>53</v>
      </c>
      <c r="K19" t="s">
        <v>53</v>
      </c>
      <c r="L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43</v>
      </c>
      <c r="T19" t="s">
        <v>53</v>
      </c>
      <c r="U19" t="s">
        <v>53</v>
      </c>
      <c r="W19" t="s">
        <v>53</v>
      </c>
      <c r="Z19" t="s">
        <v>53</v>
      </c>
      <c r="AA19" t="s">
        <v>53</v>
      </c>
      <c r="AB19" cm="1">
        <f t="array" ref="AB19">SUM(IF("X" = F19:AA19, 1, 0))</f>
        <v>14</v>
      </c>
      <c r="AC19" cm="1">
        <f t="array" ref="AC19">SUM(IF("?" = F19:AA19, 1, 0)) + AB19</f>
        <v>15</v>
      </c>
      <c r="AF19" t="b">
        <f t="shared" si="0"/>
        <v>1</v>
      </c>
      <c r="AG19" t="b">
        <f t="shared" si="0"/>
        <v>1</v>
      </c>
    </row>
    <row r="20" spans="1:33" x14ac:dyDescent="0.2">
      <c r="A20" t="s">
        <v>19</v>
      </c>
      <c r="B20">
        <v>13</v>
      </c>
      <c r="C20">
        <v>17</v>
      </c>
      <c r="F20" t="s">
        <v>53</v>
      </c>
      <c r="G20" t="s">
        <v>53</v>
      </c>
      <c r="H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43</v>
      </c>
      <c r="P20" t="s">
        <v>53</v>
      </c>
      <c r="Q20" t="s">
        <v>53</v>
      </c>
      <c r="R20" t="s">
        <v>53</v>
      </c>
      <c r="S20" t="s">
        <v>43</v>
      </c>
      <c r="U20" t="s">
        <v>53</v>
      </c>
      <c r="V20" t="s">
        <v>43</v>
      </c>
      <c r="Y20" t="s">
        <v>53</v>
      </c>
      <c r="AA20" t="s">
        <v>43</v>
      </c>
      <c r="AB20" cm="1">
        <f t="array" ref="AB20">SUM(IF("X" = F20:AA20, 1, 0))</f>
        <v>13</v>
      </c>
      <c r="AC20" cm="1">
        <f t="array" ref="AC20">SUM(IF("?" = F20:AA20, 1, 0)) + AB20</f>
        <v>17</v>
      </c>
      <c r="AF20" t="b">
        <f t="shared" si="0"/>
        <v>1</v>
      </c>
      <c r="AG20" t="b">
        <f t="shared" si="0"/>
        <v>1</v>
      </c>
    </row>
    <row r="21" spans="1:33" x14ac:dyDescent="0.2">
      <c r="A21" t="s">
        <v>20</v>
      </c>
      <c r="B21">
        <v>15</v>
      </c>
      <c r="C21">
        <v>18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N21" t="s">
        <v>53</v>
      </c>
      <c r="O21" t="s">
        <v>43</v>
      </c>
      <c r="P21" t="s">
        <v>53</v>
      </c>
      <c r="Q21" t="s">
        <v>53</v>
      </c>
      <c r="R21" t="s">
        <v>53</v>
      </c>
      <c r="S21" t="s">
        <v>43</v>
      </c>
      <c r="T21" t="s">
        <v>53</v>
      </c>
      <c r="U21" t="s">
        <v>53</v>
      </c>
      <c r="V21" t="s">
        <v>53</v>
      </c>
      <c r="X21" t="s">
        <v>53</v>
      </c>
      <c r="AA21" t="s">
        <v>43</v>
      </c>
      <c r="AB21" cm="1">
        <f t="array" ref="AB21">SUM(IF("X" = F21:AA21, 1, 0))</f>
        <v>15</v>
      </c>
      <c r="AC21" cm="1">
        <f t="array" ref="AC21">SUM(IF("?" = F21:AA21, 1, 0)) + AB21</f>
        <v>18</v>
      </c>
      <c r="AF21" t="b">
        <f t="shared" si="0"/>
        <v>1</v>
      </c>
      <c r="AG21" t="b">
        <f t="shared" si="0"/>
        <v>1</v>
      </c>
    </row>
    <row r="22" spans="1:33" x14ac:dyDescent="0.2">
      <c r="A22" t="s">
        <v>21</v>
      </c>
      <c r="B22">
        <v>15</v>
      </c>
      <c r="C22">
        <v>16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M22" t="s">
        <v>53</v>
      </c>
      <c r="Q22" t="s">
        <v>53</v>
      </c>
      <c r="R22" t="s">
        <v>53</v>
      </c>
      <c r="S22" t="s">
        <v>43</v>
      </c>
      <c r="T22" t="s">
        <v>53</v>
      </c>
      <c r="U22" t="s">
        <v>53</v>
      </c>
      <c r="V22" t="s">
        <v>53</v>
      </c>
      <c r="W22" t="s">
        <v>53</v>
      </c>
      <c r="Y22" t="s">
        <v>53</v>
      </c>
      <c r="AA22" t="s">
        <v>53</v>
      </c>
      <c r="AB22" cm="1">
        <f t="array" ref="AB22">SUM(IF("X" = F22:AA22, 1, 0))</f>
        <v>15</v>
      </c>
      <c r="AC22" cm="1">
        <f t="array" ref="AC22">SUM(IF("?" = F22:AA22, 1, 0)) + AB22</f>
        <v>16</v>
      </c>
      <c r="AF22" t="b">
        <f t="shared" si="0"/>
        <v>1</v>
      </c>
      <c r="AG22" t="b">
        <f t="shared" si="0"/>
        <v>1</v>
      </c>
    </row>
    <row r="23" spans="1:33" x14ac:dyDescent="0.2">
      <c r="A23" t="s">
        <v>22</v>
      </c>
      <c r="B23">
        <v>14</v>
      </c>
      <c r="C23">
        <v>16</v>
      </c>
      <c r="F23" t="s">
        <v>53</v>
      </c>
      <c r="G23" t="s">
        <v>53</v>
      </c>
      <c r="K23" t="s">
        <v>53</v>
      </c>
      <c r="L23" t="s">
        <v>53</v>
      </c>
      <c r="N23" t="s">
        <v>53</v>
      </c>
      <c r="O23" t="s">
        <v>43</v>
      </c>
      <c r="P23" t="s">
        <v>53</v>
      </c>
      <c r="Q23" t="s">
        <v>53</v>
      </c>
      <c r="R23" t="s">
        <v>53</v>
      </c>
      <c r="T23" t="s">
        <v>53</v>
      </c>
      <c r="U23" t="s">
        <v>53</v>
      </c>
      <c r="V23" t="s">
        <v>53</v>
      </c>
      <c r="W23" t="s">
        <v>53</v>
      </c>
      <c r="Y23" t="s">
        <v>53</v>
      </c>
      <c r="Z23" t="s">
        <v>53</v>
      </c>
      <c r="AA23" t="s">
        <v>43</v>
      </c>
      <c r="AB23" cm="1">
        <f t="array" ref="AB23">SUM(IF("X" = F23:AA23, 1, 0))</f>
        <v>14</v>
      </c>
      <c r="AC23" cm="1">
        <f t="array" ref="AC23">SUM(IF("?" = F23:AA23, 1, 0)) + AB23</f>
        <v>16</v>
      </c>
      <c r="AF23" t="b">
        <f t="shared" si="0"/>
        <v>1</v>
      </c>
      <c r="AG23" t="b">
        <f t="shared" si="0"/>
        <v>1</v>
      </c>
    </row>
    <row r="24" spans="1:33" x14ac:dyDescent="0.2">
      <c r="A24" t="s">
        <v>23</v>
      </c>
      <c r="B24">
        <v>12</v>
      </c>
      <c r="C24">
        <v>14</v>
      </c>
      <c r="F24" t="s">
        <v>53</v>
      </c>
      <c r="G24" t="s">
        <v>53</v>
      </c>
      <c r="I24" t="s">
        <v>53</v>
      </c>
      <c r="J24" t="s">
        <v>43</v>
      </c>
      <c r="N24" t="s">
        <v>53</v>
      </c>
      <c r="P24" t="s">
        <v>53</v>
      </c>
      <c r="Q24" t="s">
        <v>53</v>
      </c>
      <c r="R24" t="s">
        <v>53</v>
      </c>
      <c r="T24" t="s">
        <v>53</v>
      </c>
      <c r="U24" t="s">
        <v>53</v>
      </c>
      <c r="V24" t="s">
        <v>53</v>
      </c>
      <c r="W24" t="s">
        <v>53</v>
      </c>
      <c r="Y24" t="s">
        <v>53</v>
      </c>
      <c r="AA24" t="s">
        <v>43</v>
      </c>
      <c r="AB24" cm="1">
        <f t="array" ref="AB24">SUM(IF("X" = F24:AA24, 1, 0))</f>
        <v>12</v>
      </c>
      <c r="AC24" cm="1">
        <f t="array" ref="AC24">SUM(IF("?" = F24:AA24, 1, 0)) + AB24</f>
        <v>14</v>
      </c>
      <c r="AF24" t="b">
        <f t="shared" si="0"/>
        <v>1</v>
      </c>
      <c r="AG24" t="b">
        <f t="shared" si="0"/>
        <v>1</v>
      </c>
    </row>
    <row r="25" spans="1:33" x14ac:dyDescent="0.2">
      <c r="A25" t="s">
        <v>24</v>
      </c>
      <c r="B25">
        <v>16</v>
      </c>
      <c r="C25">
        <v>18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M25" t="s">
        <v>53</v>
      </c>
      <c r="N25" t="s">
        <v>53</v>
      </c>
      <c r="O25" t="s">
        <v>53</v>
      </c>
      <c r="P25" t="s">
        <v>53</v>
      </c>
      <c r="R25" t="s">
        <v>53</v>
      </c>
      <c r="S25" t="s">
        <v>43</v>
      </c>
      <c r="T25" t="s">
        <v>53</v>
      </c>
      <c r="U25" t="s">
        <v>53</v>
      </c>
      <c r="V25" t="s">
        <v>53</v>
      </c>
      <c r="W25" t="s">
        <v>53</v>
      </c>
      <c r="Y25" t="s">
        <v>53</v>
      </c>
      <c r="AA25" t="s">
        <v>43</v>
      </c>
      <c r="AB25" cm="1">
        <f t="array" ref="AB25">SUM(IF("X" = F25:AA25, 1, 0))</f>
        <v>16</v>
      </c>
      <c r="AC25" cm="1">
        <f t="array" ref="AC25">SUM(IF("?" = F25:AA25, 1, 0)) + AB25</f>
        <v>18</v>
      </c>
      <c r="AF25" t="b">
        <f t="shared" si="0"/>
        <v>1</v>
      </c>
      <c r="AG25" t="b">
        <f t="shared" si="0"/>
        <v>1</v>
      </c>
    </row>
    <row r="26" spans="1:33" x14ac:dyDescent="0.2">
      <c r="A26" t="s">
        <v>25</v>
      </c>
      <c r="B26">
        <v>15</v>
      </c>
      <c r="C26">
        <v>16</v>
      </c>
      <c r="F26" t="s">
        <v>53</v>
      </c>
      <c r="G26" t="s">
        <v>53</v>
      </c>
      <c r="H26" t="s">
        <v>53</v>
      </c>
      <c r="J26" t="s">
        <v>53</v>
      </c>
      <c r="K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43</v>
      </c>
      <c r="T26" t="s">
        <v>53</v>
      </c>
      <c r="U26" t="s">
        <v>53</v>
      </c>
      <c r="V26" t="s">
        <v>53</v>
      </c>
      <c r="AA26" t="s">
        <v>53</v>
      </c>
      <c r="AB26" cm="1">
        <f t="array" ref="AB26">SUM(IF("X" = F26:AA26, 1, 0))</f>
        <v>15</v>
      </c>
      <c r="AC26" cm="1">
        <f t="array" ref="AC26">SUM(IF("?" = F26:AA26, 1, 0)) + AB26</f>
        <v>16</v>
      </c>
      <c r="AF26" t="b">
        <f t="shared" si="0"/>
        <v>1</v>
      </c>
      <c r="AG26" t="b">
        <f t="shared" si="0"/>
        <v>1</v>
      </c>
    </row>
    <row r="27" spans="1:33" x14ac:dyDescent="0.2">
      <c r="A27" t="s">
        <v>26</v>
      </c>
      <c r="B27">
        <v>15</v>
      </c>
      <c r="C27">
        <v>16</v>
      </c>
      <c r="F27" t="s">
        <v>53</v>
      </c>
      <c r="G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T27" t="s">
        <v>53</v>
      </c>
      <c r="U27" t="s">
        <v>53</v>
      </c>
      <c r="V27" t="s">
        <v>53</v>
      </c>
      <c r="W27" t="s">
        <v>53</v>
      </c>
      <c r="Z27" t="s">
        <v>53</v>
      </c>
      <c r="AA27" t="s">
        <v>43</v>
      </c>
      <c r="AB27" cm="1">
        <f t="array" ref="AB27">SUM(IF("X" = F27:AA27, 1, 0))</f>
        <v>15</v>
      </c>
      <c r="AC27" cm="1">
        <f t="array" ref="AC27">SUM(IF("?" = F27:AA27, 1, 0)) + AB27</f>
        <v>16</v>
      </c>
      <c r="AF27" t="b">
        <f t="shared" si="0"/>
        <v>1</v>
      </c>
      <c r="AG27" t="b">
        <f t="shared" si="0"/>
        <v>1</v>
      </c>
    </row>
    <row r="28" spans="1:33" x14ac:dyDescent="0.2">
      <c r="A28" t="s">
        <v>27</v>
      </c>
      <c r="B28">
        <v>12</v>
      </c>
      <c r="C28">
        <v>14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N28" t="s">
        <v>53</v>
      </c>
      <c r="O28" t="s">
        <v>53</v>
      </c>
      <c r="R28" t="s">
        <v>53</v>
      </c>
      <c r="S28" t="s">
        <v>43</v>
      </c>
      <c r="T28" t="s">
        <v>53</v>
      </c>
      <c r="U28" t="s">
        <v>43</v>
      </c>
      <c r="V28" t="s">
        <v>53</v>
      </c>
      <c r="W28" t="s">
        <v>53</v>
      </c>
      <c r="AA28" t="s">
        <v>53</v>
      </c>
      <c r="AB28" cm="1">
        <f t="array" ref="AB28">SUM(IF("X" = F28:AA28, 1, 0))</f>
        <v>12</v>
      </c>
      <c r="AC28" cm="1">
        <f t="array" ref="AC28">SUM(IF("?" = F28:AA28, 1, 0)) + AB28</f>
        <v>14</v>
      </c>
      <c r="AF28" t="b">
        <f t="shared" si="0"/>
        <v>1</v>
      </c>
      <c r="AG28" t="b">
        <f t="shared" si="0"/>
        <v>1</v>
      </c>
    </row>
    <row r="29" spans="1:33" x14ac:dyDescent="0.2">
      <c r="A29" t="s">
        <v>28</v>
      </c>
      <c r="B29">
        <v>12</v>
      </c>
      <c r="C29">
        <v>13</v>
      </c>
      <c r="F29" t="s">
        <v>53</v>
      </c>
      <c r="G29" t="s">
        <v>53</v>
      </c>
      <c r="H29" t="s">
        <v>53</v>
      </c>
      <c r="N29" t="s">
        <v>53</v>
      </c>
      <c r="O29" t="s">
        <v>53</v>
      </c>
      <c r="P29" t="s">
        <v>53</v>
      </c>
      <c r="R29" t="s">
        <v>53</v>
      </c>
      <c r="S29" t="s">
        <v>43</v>
      </c>
      <c r="T29" t="s">
        <v>53</v>
      </c>
      <c r="U29" t="s">
        <v>53</v>
      </c>
      <c r="V29" t="s">
        <v>53</v>
      </c>
      <c r="Y29" t="s">
        <v>53</v>
      </c>
      <c r="Z29" t="s">
        <v>53</v>
      </c>
      <c r="AB29" cm="1">
        <f t="array" ref="AB29">SUM(IF("X" = F29:AA29, 1, 0))</f>
        <v>12</v>
      </c>
      <c r="AC29" cm="1">
        <f t="array" ref="AC29">SUM(IF("?" = F29:AA29, 1, 0)) + AB29</f>
        <v>13</v>
      </c>
      <c r="AF29" t="b">
        <f t="shared" si="0"/>
        <v>1</v>
      </c>
      <c r="AG29" t="b">
        <f t="shared" si="0"/>
        <v>1</v>
      </c>
    </row>
    <row r="30" spans="1:33" x14ac:dyDescent="0.2">
      <c r="A30" t="s">
        <v>29</v>
      </c>
      <c r="B30">
        <v>19</v>
      </c>
      <c r="C30">
        <v>21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43</v>
      </c>
      <c r="T30" t="s">
        <v>53</v>
      </c>
      <c r="U30" t="s">
        <v>53</v>
      </c>
      <c r="V30" t="s">
        <v>53</v>
      </c>
      <c r="W30" t="s">
        <v>53</v>
      </c>
      <c r="Y30" t="s">
        <v>53</v>
      </c>
      <c r="Z30" t="s">
        <v>53</v>
      </c>
      <c r="AA30" t="s">
        <v>43</v>
      </c>
      <c r="AB30" cm="1">
        <f t="array" ref="AB30">SUM(IF("X" = F30:AA30, 1, 0))</f>
        <v>19</v>
      </c>
      <c r="AC30" cm="1">
        <f t="array" ref="AC30">SUM(IF("?" = F30:AA30, 1, 0)) + AB30</f>
        <v>21</v>
      </c>
      <c r="AF30" t="b">
        <f t="shared" si="0"/>
        <v>1</v>
      </c>
      <c r="AG30" t="b">
        <f t="shared" si="0"/>
        <v>1</v>
      </c>
    </row>
    <row r="31" spans="1:33" x14ac:dyDescent="0.2">
      <c r="A31" t="s">
        <v>30</v>
      </c>
      <c r="B31">
        <v>13</v>
      </c>
      <c r="C31">
        <v>15</v>
      </c>
      <c r="F31" t="s">
        <v>53</v>
      </c>
      <c r="G31" t="s">
        <v>53</v>
      </c>
      <c r="J31" t="s">
        <v>53</v>
      </c>
      <c r="N31" t="s">
        <v>53</v>
      </c>
      <c r="O31" t="s">
        <v>43</v>
      </c>
      <c r="P31" t="s">
        <v>53</v>
      </c>
      <c r="Q31" t="s">
        <v>53</v>
      </c>
      <c r="R31" t="s">
        <v>53</v>
      </c>
      <c r="S31" t="s">
        <v>43</v>
      </c>
      <c r="T31" t="s">
        <v>53</v>
      </c>
      <c r="U31" t="s">
        <v>53</v>
      </c>
      <c r="W31" t="s">
        <v>53</v>
      </c>
      <c r="Y31" t="s">
        <v>53</v>
      </c>
      <c r="Z31" t="s">
        <v>53</v>
      </c>
      <c r="AA31" t="s">
        <v>53</v>
      </c>
      <c r="AB31" cm="1">
        <f t="array" ref="AB31">SUM(IF("X" = F31:AA31, 1, 0))</f>
        <v>13</v>
      </c>
      <c r="AC31" cm="1">
        <f t="array" ref="AC31">SUM(IF("?" = F31:AA31, 1, 0)) + AB31</f>
        <v>15</v>
      </c>
      <c r="AF31" t="b">
        <f t="shared" si="0"/>
        <v>1</v>
      </c>
      <c r="AG31" t="b">
        <f t="shared" si="0"/>
        <v>1</v>
      </c>
    </row>
    <row r="32" spans="1:33" x14ac:dyDescent="0.2">
      <c r="A32" t="s">
        <v>31</v>
      </c>
      <c r="B32">
        <v>12</v>
      </c>
      <c r="C32">
        <v>14</v>
      </c>
      <c r="F32" t="s">
        <v>53</v>
      </c>
      <c r="G32" t="s">
        <v>53</v>
      </c>
      <c r="J32" t="s">
        <v>53</v>
      </c>
      <c r="N32" t="s">
        <v>53</v>
      </c>
      <c r="O32" t="s">
        <v>43</v>
      </c>
      <c r="P32" t="s">
        <v>53</v>
      </c>
      <c r="Q32" t="s">
        <v>53</v>
      </c>
      <c r="R32" t="s">
        <v>53</v>
      </c>
      <c r="S32" t="s">
        <v>43</v>
      </c>
      <c r="T32" t="s">
        <v>53</v>
      </c>
      <c r="U32" t="s">
        <v>53</v>
      </c>
      <c r="W32" t="s">
        <v>53</v>
      </c>
      <c r="Z32" t="s">
        <v>53</v>
      </c>
      <c r="AA32" t="s">
        <v>53</v>
      </c>
      <c r="AB32" cm="1">
        <f t="array" ref="AB32">SUM(IF("X" = F32:AA32, 1, 0))</f>
        <v>12</v>
      </c>
      <c r="AC32" cm="1">
        <f t="array" ref="AC32">SUM(IF("?" = F32:AA32, 1, 0)) + AB32</f>
        <v>14</v>
      </c>
      <c r="AF32" t="b">
        <f t="shared" si="0"/>
        <v>1</v>
      </c>
      <c r="AG32" t="b">
        <f t="shared" si="0"/>
        <v>1</v>
      </c>
    </row>
    <row r="33" spans="1:33" x14ac:dyDescent="0.2">
      <c r="A33" t="s">
        <v>32</v>
      </c>
      <c r="B33">
        <v>12</v>
      </c>
      <c r="C33">
        <v>14</v>
      </c>
      <c r="F33" t="s">
        <v>53</v>
      </c>
      <c r="G33" t="s">
        <v>53</v>
      </c>
      <c r="I33" t="s">
        <v>53</v>
      </c>
      <c r="M33" t="s">
        <v>53</v>
      </c>
      <c r="N33" t="s">
        <v>53</v>
      </c>
      <c r="O33" t="s">
        <v>43</v>
      </c>
      <c r="P33" t="s">
        <v>53</v>
      </c>
      <c r="R33" t="s">
        <v>53</v>
      </c>
      <c r="S33" t="s">
        <v>43</v>
      </c>
      <c r="T33" t="s">
        <v>53</v>
      </c>
      <c r="U33" t="s">
        <v>53</v>
      </c>
      <c r="W33" t="s">
        <v>53</v>
      </c>
      <c r="Z33" t="s">
        <v>53</v>
      </c>
      <c r="AA33" t="s">
        <v>53</v>
      </c>
      <c r="AB33" cm="1">
        <f t="array" ref="AB33">SUM(IF("X" = F33:AA33, 1, 0))</f>
        <v>12</v>
      </c>
      <c r="AC33" cm="1">
        <f t="array" ref="AC33">SUM(IF("?" = F33:AA33, 1, 0)) + AB33</f>
        <v>14</v>
      </c>
      <c r="AF33" t="b">
        <f t="shared" si="0"/>
        <v>1</v>
      </c>
      <c r="AG33" t="b">
        <f t="shared" si="0"/>
        <v>1</v>
      </c>
    </row>
    <row r="34" spans="1:33" x14ac:dyDescent="0.2">
      <c r="A34" t="s">
        <v>33</v>
      </c>
      <c r="B34">
        <v>15</v>
      </c>
      <c r="C34">
        <v>16</v>
      </c>
      <c r="F34" t="s">
        <v>53</v>
      </c>
      <c r="G34" t="s">
        <v>53</v>
      </c>
      <c r="I34" t="s">
        <v>53</v>
      </c>
      <c r="L34" t="s">
        <v>53</v>
      </c>
      <c r="M34" t="s">
        <v>53</v>
      </c>
      <c r="O34" t="s">
        <v>43</v>
      </c>
      <c r="P34" t="s">
        <v>53</v>
      </c>
      <c r="Q34" t="s">
        <v>53</v>
      </c>
      <c r="R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B34" cm="1">
        <f t="array" ref="AB34">SUM(IF("X" = F34:AA34, 1, 0))</f>
        <v>15</v>
      </c>
      <c r="AC34" cm="1">
        <f t="array" ref="AC34">SUM(IF("?" = F34:AA34, 1, 0)) + AB34</f>
        <v>16</v>
      </c>
      <c r="AF34" t="b">
        <f t="shared" si="0"/>
        <v>1</v>
      </c>
      <c r="AG34" t="b">
        <f t="shared" si="0"/>
        <v>1</v>
      </c>
    </row>
    <row r="35" spans="1:33" x14ac:dyDescent="0.2">
      <c r="B35">
        <f>AVERAGE(B2:B34)</f>
        <v>13.939393939393939</v>
      </c>
      <c r="C35">
        <f>AVERAGE(C2:C34)</f>
        <v>15.606060606060606</v>
      </c>
    </row>
    <row r="37" spans="1:33" x14ac:dyDescent="0.2">
      <c r="A37" t="s">
        <v>34</v>
      </c>
      <c r="B37">
        <v>21</v>
      </c>
      <c r="C37">
        <v>21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cm="1">
        <f t="array" ref="AB37">SUM(IF("X" = F37:AA37, 1, 0))</f>
        <v>21</v>
      </c>
      <c r="AC37" cm="1">
        <f t="array" ref="AC37">SUM(IF("?" = F37:AA37, 1, 0)) + AB37</f>
        <v>21</v>
      </c>
      <c r="AF37" t="b">
        <f t="shared" ref="AF37:AG57" si="1">AB37=B37</f>
        <v>1</v>
      </c>
      <c r="AG37" t="b">
        <f t="shared" si="1"/>
        <v>1</v>
      </c>
    </row>
    <row r="38" spans="1:33" x14ac:dyDescent="0.2">
      <c r="A38" t="s">
        <v>35</v>
      </c>
      <c r="B38">
        <v>19</v>
      </c>
      <c r="C38">
        <v>20</v>
      </c>
      <c r="F38" t="s">
        <v>53</v>
      </c>
      <c r="G38" t="s">
        <v>53</v>
      </c>
      <c r="I38" t="s">
        <v>53</v>
      </c>
      <c r="J38" t="s">
        <v>53</v>
      </c>
      <c r="K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53</v>
      </c>
      <c r="AA38" t="s">
        <v>53</v>
      </c>
      <c r="AB38" cm="1">
        <f t="array" ref="AB38">SUM(IF("X" = F38:AA38, 1, 0))</f>
        <v>20</v>
      </c>
      <c r="AC38" cm="1">
        <f t="array" ref="AC38">SUM(IF("?" = F38:AA38, 1, 0)) + AB38</f>
        <v>20</v>
      </c>
      <c r="AF38" t="b">
        <f t="shared" si="1"/>
        <v>0</v>
      </c>
      <c r="AG38" t="b">
        <f t="shared" si="1"/>
        <v>1</v>
      </c>
    </row>
    <row r="39" spans="1:33" x14ac:dyDescent="0.2">
      <c r="A39" t="s">
        <v>36</v>
      </c>
      <c r="B39">
        <v>18</v>
      </c>
      <c r="C39">
        <v>18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O39" t="s">
        <v>53</v>
      </c>
      <c r="P39" t="s">
        <v>53</v>
      </c>
      <c r="Q39" t="s">
        <v>53</v>
      </c>
      <c r="T39" t="s">
        <v>53</v>
      </c>
      <c r="U39" t="s">
        <v>53</v>
      </c>
      <c r="V39" t="s">
        <v>53</v>
      </c>
      <c r="W39" t="s">
        <v>53</v>
      </c>
      <c r="Y39" t="s">
        <v>53</v>
      </c>
      <c r="Z39" t="s">
        <v>53</v>
      </c>
      <c r="AA39" t="s">
        <v>53</v>
      </c>
      <c r="AB39" cm="1">
        <f t="array" ref="AB39">SUM(IF("X" = F39:AA39, 1, 0))</f>
        <v>18</v>
      </c>
      <c r="AC39" cm="1">
        <f t="array" ref="AC39">SUM(IF("?" = F39:AA39, 1, 0)) + AB39</f>
        <v>18</v>
      </c>
      <c r="AF39" t="b">
        <f t="shared" si="1"/>
        <v>1</v>
      </c>
      <c r="AG39" t="b">
        <f t="shared" si="1"/>
        <v>1</v>
      </c>
    </row>
    <row r="40" spans="1:33" x14ac:dyDescent="0.2">
      <c r="A40" t="s">
        <v>37</v>
      </c>
      <c r="B40">
        <v>17</v>
      </c>
      <c r="C40">
        <v>17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cm="1">
        <f t="array" ref="AB40">SUM(IF("X" = F40:AA40, 1, 0))</f>
        <v>17</v>
      </c>
      <c r="AC40" cm="1">
        <f t="array" ref="AC40">SUM(IF("?" = F40:AA40, 1, 0)) + AB40</f>
        <v>17</v>
      </c>
      <c r="AF40" t="b">
        <f t="shared" si="1"/>
        <v>1</v>
      </c>
      <c r="AG40" t="b">
        <f t="shared" si="1"/>
        <v>1</v>
      </c>
    </row>
    <row r="41" spans="1:33" x14ac:dyDescent="0.2">
      <c r="A41" t="s">
        <v>38</v>
      </c>
      <c r="B41">
        <v>17</v>
      </c>
      <c r="C41">
        <v>18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W41" t="s">
        <v>53</v>
      </c>
      <c r="Y41" t="s">
        <v>53</v>
      </c>
      <c r="Z41" t="s">
        <v>53</v>
      </c>
      <c r="AA41" t="s">
        <v>53</v>
      </c>
      <c r="AB41" cm="1">
        <f t="array" ref="AB41">SUM(IF("X" = F41:AA41, 1, 0))</f>
        <v>18</v>
      </c>
      <c r="AC41" cm="1">
        <f t="array" ref="AC41">SUM(IF("?" = F41:AA41, 1, 0)) + AB41</f>
        <v>18</v>
      </c>
      <c r="AF41" t="b">
        <f t="shared" si="1"/>
        <v>0</v>
      </c>
      <c r="AG41" t="b">
        <f t="shared" si="1"/>
        <v>1</v>
      </c>
    </row>
    <row r="42" spans="1:33" x14ac:dyDescent="0.2">
      <c r="A42" t="s">
        <v>39</v>
      </c>
      <c r="B42">
        <v>15</v>
      </c>
      <c r="C42">
        <v>15</v>
      </c>
      <c r="F42" t="s">
        <v>53</v>
      </c>
      <c r="G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V42" t="s">
        <v>53</v>
      </c>
      <c r="W42" t="s">
        <v>53</v>
      </c>
      <c r="Y42" t="s">
        <v>53</v>
      </c>
      <c r="Z42" t="s">
        <v>53</v>
      </c>
      <c r="AA42" t="s">
        <v>53</v>
      </c>
      <c r="AB42" cm="1">
        <f t="array" ref="AB42">SUM(IF("X" = F42:AA42, 1, 0))</f>
        <v>15</v>
      </c>
      <c r="AC42" cm="1">
        <f t="array" ref="AC42">SUM(IF("?" = F42:AA42, 1, 0)) + AB42</f>
        <v>15</v>
      </c>
      <c r="AF42" t="b">
        <f t="shared" si="1"/>
        <v>1</v>
      </c>
      <c r="AG42" t="b">
        <f t="shared" si="1"/>
        <v>1</v>
      </c>
    </row>
    <row r="43" spans="1:33" x14ac:dyDescent="0.2">
      <c r="A43" t="s">
        <v>40</v>
      </c>
      <c r="B43">
        <v>14</v>
      </c>
      <c r="C43">
        <v>16</v>
      </c>
      <c r="F43" t="s">
        <v>53</v>
      </c>
      <c r="G43" t="s">
        <v>53</v>
      </c>
      <c r="J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53</v>
      </c>
      <c r="AA43" t="s">
        <v>53</v>
      </c>
      <c r="AB43" cm="1">
        <f t="array" ref="AB43">SUM(IF("X" = F43:AA43, 1, 0))</f>
        <v>16</v>
      </c>
      <c r="AC43" cm="1">
        <f t="array" ref="AC43">SUM(IF("?" = F43:AA43, 1, 0)) + AB43</f>
        <v>16</v>
      </c>
      <c r="AF43" t="b">
        <f t="shared" si="1"/>
        <v>0</v>
      </c>
      <c r="AG43" t="b">
        <f t="shared" si="1"/>
        <v>1</v>
      </c>
    </row>
    <row r="44" spans="1:33" x14ac:dyDescent="0.2">
      <c r="A44" t="s">
        <v>41</v>
      </c>
      <c r="B44">
        <v>13</v>
      </c>
      <c r="C44">
        <v>13</v>
      </c>
      <c r="F44" t="s">
        <v>53</v>
      </c>
      <c r="G44" t="s">
        <v>53</v>
      </c>
      <c r="J44" t="s">
        <v>53</v>
      </c>
      <c r="K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Y44" t="s">
        <v>53</v>
      </c>
      <c r="AA44" t="s">
        <v>53</v>
      </c>
      <c r="AB44" cm="1">
        <f t="array" ref="AB44">SUM(IF("X" = F44:AA44, 1, 0))</f>
        <v>13</v>
      </c>
      <c r="AC44" cm="1">
        <f t="array" ref="AC44">SUM(IF("?" = F44:AA44, 1, 0)) + AB44</f>
        <v>13</v>
      </c>
      <c r="AF44" t="b">
        <f t="shared" si="1"/>
        <v>1</v>
      </c>
      <c r="AG44" t="b">
        <f t="shared" si="1"/>
        <v>1</v>
      </c>
    </row>
    <row r="45" spans="1:33" x14ac:dyDescent="0.2">
      <c r="A45" t="s">
        <v>42</v>
      </c>
      <c r="B45">
        <v>12</v>
      </c>
      <c r="C45">
        <v>12</v>
      </c>
      <c r="D45" t="s">
        <v>43</v>
      </c>
      <c r="F45" t="s">
        <v>53</v>
      </c>
      <c r="J45" t="s">
        <v>53</v>
      </c>
      <c r="K45" t="s">
        <v>53</v>
      </c>
      <c r="L45" t="s">
        <v>53</v>
      </c>
      <c r="M45" t="s">
        <v>53</v>
      </c>
      <c r="P45" t="s">
        <v>53</v>
      </c>
      <c r="R45" t="s">
        <v>53</v>
      </c>
      <c r="U45" t="s">
        <v>53</v>
      </c>
      <c r="V45" t="s">
        <v>53</v>
      </c>
      <c r="W45" t="s">
        <v>53</v>
      </c>
      <c r="Z45" t="s">
        <v>53</v>
      </c>
      <c r="AA45" t="s">
        <v>53</v>
      </c>
      <c r="AB45" cm="1">
        <f t="array" ref="AB45">SUM(IF("X" = F45:AA45, 1, 0))</f>
        <v>12</v>
      </c>
      <c r="AC45" cm="1">
        <f t="array" ref="AC45">SUM(IF("?" = F45:AA45, 1, 0)) + AB45</f>
        <v>12</v>
      </c>
      <c r="AF45" t="b">
        <f t="shared" si="1"/>
        <v>1</v>
      </c>
      <c r="AG45" t="b">
        <f t="shared" si="1"/>
        <v>1</v>
      </c>
    </row>
    <row r="46" spans="1:33" x14ac:dyDescent="0.2">
      <c r="A46" t="s">
        <v>44</v>
      </c>
      <c r="B46">
        <v>19</v>
      </c>
      <c r="C46">
        <v>19</v>
      </c>
      <c r="F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R46" t="s">
        <v>53</v>
      </c>
      <c r="S46" t="s">
        <v>53</v>
      </c>
      <c r="T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53</v>
      </c>
      <c r="AA46" t="s">
        <v>53</v>
      </c>
      <c r="AB46" cm="1">
        <f t="array" ref="AB46">SUM(IF("X" = F46:AA46, 1, 0))</f>
        <v>19</v>
      </c>
      <c r="AC46" cm="1">
        <f t="array" ref="AC46">SUM(IF("?" = F46:AA46, 1, 0)) + AB46</f>
        <v>19</v>
      </c>
      <c r="AF46" t="b">
        <f t="shared" si="1"/>
        <v>1</v>
      </c>
      <c r="AG46" t="b">
        <f t="shared" si="1"/>
        <v>1</v>
      </c>
    </row>
    <row r="47" spans="1:33" x14ac:dyDescent="0.2">
      <c r="A47" t="s">
        <v>45</v>
      </c>
      <c r="B47">
        <v>11</v>
      </c>
      <c r="C47">
        <v>11</v>
      </c>
      <c r="F47" t="s">
        <v>53</v>
      </c>
      <c r="H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R47" t="s">
        <v>53</v>
      </c>
      <c r="T47" t="s">
        <v>53</v>
      </c>
      <c r="AB47" cm="1">
        <f t="array" ref="AB47">SUM(IF("X" = F47:AA47, 1, 0))</f>
        <v>11</v>
      </c>
      <c r="AC47" cm="1">
        <f t="array" ref="AC47">SUM(IF("?" = F47:AA47, 1, 0)) + AB47</f>
        <v>11</v>
      </c>
      <c r="AF47" t="b">
        <f t="shared" si="1"/>
        <v>1</v>
      </c>
      <c r="AG47" t="b">
        <f t="shared" si="1"/>
        <v>1</v>
      </c>
    </row>
    <row r="48" spans="1:33" x14ac:dyDescent="0.2">
      <c r="A48" t="s">
        <v>46</v>
      </c>
      <c r="B48">
        <v>15</v>
      </c>
      <c r="C48">
        <v>15</v>
      </c>
      <c r="F48" t="s">
        <v>53</v>
      </c>
      <c r="H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X48" t="s">
        <v>53</v>
      </c>
      <c r="AA48" t="s">
        <v>53</v>
      </c>
      <c r="AB48" cm="1">
        <f t="array" ref="AB48">SUM(IF("X" = F48:AA48, 1, 0))</f>
        <v>15</v>
      </c>
      <c r="AC48" cm="1">
        <f t="array" ref="AC48">SUM(IF("?" = F48:AA48, 1, 0)) + AB48</f>
        <v>15</v>
      </c>
      <c r="AF48" t="b">
        <f t="shared" si="1"/>
        <v>1</v>
      </c>
      <c r="AG48" t="b">
        <f t="shared" si="1"/>
        <v>1</v>
      </c>
    </row>
    <row r="49" spans="1:33" x14ac:dyDescent="0.2">
      <c r="A49" t="s">
        <v>47</v>
      </c>
      <c r="B49">
        <v>12</v>
      </c>
      <c r="C49">
        <v>12</v>
      </c>
      <c r="F49" t="s">
        <v>53</v>
      </c>
      <c r="G49" t="s">
        <v>53</v>
      </c>
      <c r="H49" t="s">
        <v>53</v>
      </c>
      <c r="I49" t="s">
        <v>53</v>
      </c>
      <c r="K49" t="s">
        <v>53</v>
      </c>
      <c r="L49" t="s">
        <v>53</v>
      </c>
      <c r="M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AB49" cm="1">
        <f t="array" ref="AB49">SUM(IF("X" = F49:AA49, 1, 0))</f>
        <v>12</v>
      </c>
      <c r="AC49" cm="1">
        <f t="array" ref="AC49">SUM(IF("?" = F49:AA49, 1, 0)) + AB49</f>
        <v>12</v>
      </c>
      <c r="AF49" t="b">
        <f t="shared" si="1"/>
        <v>1</v>
      </c>
      <c r="AG49" t="b">
        <f t="shared" si="1"/>
        <v>1</v>
      </c>
    </row>
    <row r="50" spans="1:33" x14ac:dyDescent="0.2">
      <c r="A50" t="s">
        <v>48</v>
      </c>
      <c r="B50">
        <v>20</v>
      </c>
      <c r="C50">
        <v>20</v>
      </c>
      <c r="F50" t="s">
        <v>53</v>
      </c>
      <c r="G50" t="s">
        <v>53</v>
      </c>
      <c r="H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53</v>
      </c>
      <c r="AA50" t="s">
        <v>53</v>
      </c>
      <c r="AB50" cm="1">
        <f t="array" ref="AB50">SUM(IF("X" = F50:AA50, 1, 0))</f>
        <v>20</v>
      </c>
      <c r="AC50" cm="1">
        <f t="array" ref="AC50">SUM(IF("?" = F50:AA50, 1, 0)) + AB50</f>
        <v>20</v>
      </c>
      <c r="AF50" t="b">
        <f t="shared" si="1"/>
        <v>1</v>
      </c>
      <c r="AG50" t="b">
        <f t="shared" si="1"/>
        <v>1</v>
      </c>
    </row>
    <row r="51" spans="1:33" x14ac:dyDescent="0.2">
      <c r="A51" t="s">
        <v>49</v>
      </c>
      <c r="B51">
        <v>9</v>
      </c>
      <c r="C51">
        <v>9</v>
      </c>
      <c r="P51" t="s">
        <v>53</v>
      </c>
      <c r="R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53</v>
      </c>
      <c r="AA51" t="s">
        <v>53</v>
      </c>
      <c r="AB51" cm="1">
        <f t="array" ref="AB51">SUM(IF("X" = F51:AA51, 1, 0))</f>
        <v>9</v>
      </c>
      <c r="AC51" cm="1">
        <f t="array" ref="AC51">SUM(IF("?" = F51:AA51, 1, 0)) + AB51</f>
        <v>9</v>
      </c>
      <c r="AF51" t="b">
        <f t="shared" si="1"/>
        <v>1</v>
      </c>
      <c r="AG51" t="b">
        <f t="shared" si="1"/>
        <v>1</v>
      </c>
    </row>
    <row r="52" spans="1:33" x14ac:dyDescent="0.2">
      <c r="A52" t="s">
        <v>50</v>
      </c>
      <c r="B52">
        <v>11</v>
      </c>
      <c r="C52">
        <v>11</v>
      </c>
      <c r="D52" t="s">
        <v>43</v>
      </c>
      <c r="F52" t="s">
        <v>53</v>
      </c>
      <c r="G52" t="s">
        <v>53</v>
      </c>
      <c r="H52" t="s">
        <v>53</v>
      </c>
      <c r="I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U52" t="s">
        <v>53</v>
      </c>
      <c r="X52" t="s">
        <v>53</v>
      </c>
      <c r="AB52" cm="1">
        <f t="array" ref="AB52">SUM(IF("X" = F52:AA52, 1, 0))</f>
        <v>11</v>
      </c>
      <c r="AC52" cm="1">
        <f t="array" ref="AC52">SUM(IF("?" = F52:AA52, 1, 0)) + AB52</f>
        <v>11</v>
      </c>
      <c r="AF52" t="b">
        <f t="shared" si="1"/>
        <v>1</v>
      </c>
      <c r="AG52" t="b">
        <f t="shared" si="1"/>
        <v>1</v>
      </c>
    </row>
    <row r="53" spans="1:33" x14ac:dyDescent="0.2">
      <c r="A53" t="s">
        <v>51</v>
      </c>
      <c r="B53">
        <v>19</v>
      </c>
      <c r="C53">
        <v>19</v>
      </c>
      <c r="F53" t="s">
        <v>53</v>
      </c>
      <c r="G53" t="s">
        <v>53</v>
      </c>
      <c r="I53" t="s">
        <v>53</v>
      </c>
      <c r="J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Y53" t="s">
        <v>53</v>
      </c>
      <c r="Z53" t="s">
        <v>53</v>
      </c>
      <c r="AA53" t="s">
        <v>53</v>
      </c>
      <c r="AB53" cm="1">
        <f t="array" ref="AB53">SUM(IF("X" = F53:AA53, 1, 0))</f>
        <v>19</v>
      </c>
      <c r="AC53" cm="1">
        <f t="array" ref="AC53">SUM(IF("?" = F53:AA53, 1, 0)) + AB53</f>
        <v>19</v>
      </c>
      <c r="AF53" t="b">
        <f t="shared" si="1"/>
        <v>1</v>
      </c>
      <c r="AG53" t="b">
        <f t="shared" si="1"/>
        <v>1</v>
      </c>
    </row>
    <row r="54" spans="1:33" x14ac:dyDescent="0.2">
      <c r="A54" t="s">
        <v>52</v>
      </c>
      <c r="B54">
        <v>14</v>
      </c>
      <c r="C54">
        <v>14</v>
      </c>
      <c r="F54" t="s">
        <v>53</v>
      </c>
      <c r="G54" t="s">
        <v>53</v>
      </c>
      <c r="K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W54" t="s">
        <v>53</v>
      </c>
      <c r="Z54" t="s">
        <v>53</v>
      </c>
      <c r="AA54" t="s">
        <v>53</v>
      </c>
      <c r="AB54" cm="1">
        <f t="array" ref="AB54">SUM(IF("X" = F54:AA54, 1, 0))</f>
        <v>14</v>
      </c>
      <c r="AC54" cm="1">
        <f t="array" ref="AC54">SUM(IF("?" = F54:AA54, 1, 0)) + AB54</f>
        <v>14</v>
      </c>
      <c r="AF54" t="b">
        <f t="shared" si="1"/>
        <v>1</v>
      </c>
      <c r="AG54" t="b">
        <f t="shared" si="1"/>
        <v>1</v>
      </c>
    </row>
    <row r="55" spans="1:33" x14ac:dyDescent="0.2">
      <c r="A55" t="s">
        <v>61</v>
      </c>
      <c r="B55">
        <v>18</v>
      </c>
      <c r="C55">
        <v>18</v>
      </c>
      <c r="F55" t="s">
        <v>53</v>
      </c>
      <c r="G55" t="s">
        <v>53</v>
      </c>
      <c r="I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53</v>
      </c>
      <c r="AB55" cm="1">
        <f t="array" ref="AB55">SUM(IF("X" = F55:AA55, 1, 0))</f>
        <v>18</v>
      </c>
      <c r="AC55" cm="1">
        <f t="array" ref="AC55">SUM(IF("?" = F55:AA55, 1, 0)) + AB55</f>
        <v>18</v>
      </c>
      <c r="AF55" t="b">
        <f t="shared" si="1"/>
        <v>1</v>
      </c>
      <c r="AG55" t="b">
        <f t="shared" si="1"/>
        <v>1</v>
      </c>
    </row>
    <row r="56" spans="1:33" x14ac:dyDescent="0.2">
      <c r="A56" t="s">
        <v>62</v>
      </c>
      <c r="B56">
        <v>17</v>
      </c>
      <c r="C56">
        <v>17</v>
      </c>
      <c r="F56" t="s">
        <v>53</v>
      </c>
      <c r="G56" t="s">
        <v>53</v>
      </c>
      <c r="H56" t="s">
        <v>53</v>
      </c>
      <c r="I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53</v>
      </c>
      <c r="AB56" cm="1">
        <f t="array" ref="AB56">SUM(IF("X" = F56:AA56, 1, 0))</f>
        <v>17</v>
      </c>
      <c r="AC56" cm="1">
        <f t="array" ref="AC56">SUM(IF("?" = F56:AA56, 1, 0)) + AB56</f>
        <v>17</v>
      </c>
      <c r="AF56" t="b">
        <f t="shared" si="1"/>
        <v>1</v>
      </c>
      <c r="AG56" t="b">
        <f t="shared" si="1"/>
        <v>1</v>
      </c>
    </row>
    <row r="57" spans="1:33" x14ac:dyDescent="0.2">
      <c r="A57" t="s">
        <v>63</v>
      </c>
      <c r="B57">
        <v>13</v>
      </c>
      <c r="C57">
        <v>13</v>
      </c>
      <c r="J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T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53</v>
      </c>
      <c r="AA57" t="s">
        <v>53</v>
      </c>
      <c r="AB57" cm="1">
        <f t="array" ref="AB57">SUM(IF("X" = F57:AA57, 1, 0))</f>
        <v>13</v>
      </c>
      <c r="AC57" cm="1">
        <f t="array" ref="AC57">SUM(IF("?" = F57:AA57, 1, 0)) + AB57</f>
        <v>13</v>
      </c>
      <c r="AF57" t="b">
        <f t="shared" si="1"/>
        <v>1</v>
      </c>
      <c r="AG57" t="b">
        <f t="shared" si="1"/>
        <v>1</v>
      </c>
    </row>
    <row r="58" spans="1:33" x14ac:dyDescent="0.2">
      <c r="B58">
        <f>AVERAGE(B37:B57)</f>
        <v>15.428571428571429</v>
      </c>
      <c r="C58">
        <f>AVERAGE(C37:C57)</f>
        <v>15.619047619047619</v>
      </c>
    </row>
    <row r="59" spans="1:33" x14ac:dyDescent="0.2">
      <c r="A59">
        <f>COUNTA(A37:A57)</f>
        <v>21</v>
      </c>
    </row>
    <row r="60" spans="1:33" x14ac:dyDescent="0.2">
      <c r="E60" t="s">
        <v>59</v>
      </c>
      <c r="F60" cm="1">
        <f t="array" ref="F60">SUM(IF("X"=F2:F34,1, 0)) + SUM(IF("?"=F2:F34,1, 0))</f>
        <v>28</v>
      </c>
      <c r="G60" cm="1">
        <f t="array" ref="G60">SUM(IF("X"=G2:G34,1, 0)) + SUM(IF("?"=G2:G34,1, 0))</f>
        <v>32</v>
      </c>
      <c r="H60" cm="1">
        <f t="array" ref="H60">SUM(IF("X"=H2:H34,1, 0)) + SUM(IF("?"=H2:H34,1, 0))</f>
        <v>15</v>
      </c>
      <c r="I60" cm="1">
        <f t="array" ref="I60">SUM(IF("X"=I2:I34,1, 0)) + SUM(IF("?"=I2:I34,1, 0))</f>
        <v>15</v>
      </c>
      <c r="J60" cm="1">
        <f t="array" ref="J60">SUM(IF("X"=J2:J34,1, 0)) + SUM(IF("?"=J2:J34,1, 0))</f>
        <v>22</v>
      </c>
      <c r="K60" cm="1">
        <f t="array" ref="K60">SUM(IF("X"=K2:K34,1, 0)) + SUM(IF("?"=K2:K34,1, 0))</f>
        <v>21</v>
      </c>
      <c r="L60" cm="1">
        <f t="array" ref="L60">SUM(IF("X"=L2:L34,1, 0)) + SUM(IF("?"=L2:L34,1, 0))</f>
        <v>14</v>
      </c>
      <c r="M60" cm="1">
        <f t="array" ref="M60">SUM(IF("X"=M2:M34,1, 0)) + SUM(IF("?"=M2:M34,1, 0))</f>
        <v>22</v>
      </c>
      <c r="N60" cm="1">
        <f t="array" ref="N60">SUM(IF("X"=N2:N34,1, 0)) + SUM(IF("?"=N2:N34,1, 0))</f>
        <v>27</v>
      </c>
      <c r="O60" cm="1">
        <f t="array" ref="O60">SUM(IF("X"=O2:O34,1, 0)) + SUM(IF("?"=O2:O34,1, 0))</f>
        <v>27</v>
      </c>
      <c r="P60" cm="1">
        <f t="array" ref="P60">SUM(IF("X"=P2:P34,1, 0)) + SUM(IF("?"=P2:P34,1, 0))</f>
        <v>26</v>
      </c>
      <c r="Q60" cm="1">
        <f t="array" ref="Q60">SUM(IF("X"=Q2:Q34,1, 0)) + SUM(IF("?"=Q2:Q34,1, 0))</f>
        <v>27</v>
      </c>
      <c r="R60" cm="1">
        <f t="array" ref="R60">SUM(IF("X"=R2:R34,1, 0)) + SUM(IF("?"=R2:R34,1, 0))</f>
        <v>32</v>
      </c>
      <c r="S60" cm="1">
        <f t="array" ref="S60">SUM(IF("X"=S2:S34,1, 0)) + SUM(IF("?"=S2:S34,1, 0))</f>
        <v>24</v>
      </c>
      <c r="T60" cm="1">
        <f t="array" ref="T60">SUM(IF("X"=T2:T34,1, 0)) + SUM(IF("?"=T2:T34,1, 0))</f>
        <v>32</v>
      </c>
      <c r="U60" cm="1">
        <f t="array" ref="U60">SUM(IF("X"=U2:U34,1, 0)) + SUM(IF("?"=U2:U34,1, 0))</f>
        <v>32</v>
      </c>
      <c r="V60" cm="1">
        <f t="array" ref="V60">SUM(IF("X"=V2:V34,1, 0)) + SUM(IF("?"=V2:V34,1, 0))</f>
        <v>20</v>
      </c>
      <c r="W60" cm="1">
        <f t="array" ref="W60">SUM(IF("X"=W2:W34,1, 0)) + SUM(IF("?"=W2:W34,1, 0))</f>
        <v>27</v>
      </c>
      <c r="X60" cm="1">
        <f t="array" ref="X60">SUM(IF("X"=X2:X34,1, 0)) + SUM(IF("?"=X2:X34,1, 0))</f>
        <v>9</v>
      </c>
      <c r="Y60" cm="1">
        <f t="array" ref="Y60">SUM(IF("X"=Y2:Y34,1, 0)) + SUM(IF("?"=Y2:Y34,1, 0))</f>
        <v>20</v>
      </c>
      <c r="Z60" cm="1">
        <f t="array" ref="Z60">SUM(IF("X"=Z2:Z34,1, 0)) + SUM(IF("?"=Z2:Z34,1, 0))</f>
        <v>14</v>
      </c>
      <c r="AA60" cm="1">
        <f t="array" ref="AA60">SUM(IF("X"=AA2:AA34,1, 0)) + SUM(IF("?"=AA2:AA34,1, 0))</f>
        <v>29</v>
      </c>
    </row>
    <row r="61" spans="1:33" x14ac:dyDescent="0.2">
      <c r="F61" s="1">
        <f>F60/33</f>
        <v>0.84848484848484851</v>
      </c>
      <c r="G61" s="1">
        <f t="shared" ref="G61:AA61" si="2">G60/33</f>
        <v>0.96969696969696972</v>
      </c>
      <c r="H61" s="1">
        <f t="shared" si="2"/>
        <v>0.45454545454545453</v>
      </c>
      <c r="I61" s="1">
        <f t="shared" si="2"/>
        <v>0.45454545454545453</v>
      </c>
      <c r="J61" s="1">
        <f t="shared" si="2"/>
        <v>0.66666666666666663</v>
      </c>
      <c r="K61" s="1">
        <f t="shared" si="2"/>
        <v>0.63636363636363635</v>
      </c>
      <c r="L61" s="1">
        <f t="shared" si="2"/>
        <v>0.42424242424242425</v>
      </c>
      <c r="M61" s="1">
        <f t="shared" si="2"/>
        <v>0.66666666666666663</v>
      </c>
      <c r="N61" s="1">
        <f t="shared" si="2"/>
        <v>0.81818181818181823</v>
      </c>
      <c r="O61" s="1">
        <f t="shared" si="2"/>
        <v>0.81818181818181823</v>
      </c>
      <c r="P61" s="1">
        <f t="shared" si="2"/>
        <v>0.78787878787878785</v>
      </c>
      <c r="Q61" s="1">
        <f t="shared" si="2"/>
        <v>0.81818181818181823</v>
      </c>
      <c r="R61" s="1">
        <f t="shared" si="2"/>
        <v>0.96969696969696972</v>
      </c>
      <c r="S61" s="1">
        <f t="shared" si="2"/>
        <v>0.72727272727272729</v>
      </c>
      <c r="T61" s="1">
        <f t="shared" si="2"/>
        <v>0.96969696969696972</v>
      </c>
      <c r="U61" s="1">
        <f t="shared" si="2"/>
        <v>0.96969696969696972</v>
      </c>
      <c r="V61" s="1">
        <f t="shared" si="2"/>
        <v>0.60606060606060608</v>
      </c>
      <c r="W61" s="1">
        <f t="shared" si="2"/>
        <v>0.81818181818181823</v>
      </c>
      <c r="X61" s="1">
        <f t="shared" si="2"/>
        <v>0.27272727272727271</v>
      </c>
      <c r="Y61" s="1">
        <f t="shared" si="2"/>
        <v>0.60606060606060608</v>
      </c>
      <c r="Z61" s="1">
        <f t="shared" si="2"/>
        <v>0.42424242424242425</v>
      </c>
      <c r="AA61" s="1">
        <f t="shared" si="2"/>
        <v>0.87878787878787878</v>
      </c>
    </row>
    <row r="62" spans="1:33" x14ac:dyDescent="0.2">
      <c r="H62" t="s">
        <v>53</v>
      </c>
      <c r="I62" t="s">
        <v>53</v>
      </c>
      <c r="L62" t="s">
        <v>53</v>
      </c>
      <c r="O62" t="s">
        <v>53</v>
      </c>
      <c r="S62" t="s">
        <v>53</v>
      </c>
      <c r="X62" t="s">
        <v>53</v>
      </c>
      <c r="Z62" t="s">
        <v>53</v>
      </c>
      <c r="AA62" t="s">
        <v>53</v>
      </c>
    </row>
    <row r="63" spans="1:33" x14ac:dyDescent="0.2">
      <c r="E63" t="s">
        <v>60</v>
      </c>
      <c r="F63" cm="1">
        <f t="array" ref="F63">SUM(IF("X"=F37:F57,1, 0))</f>
        <v>19</v>
      </c>
      <c r="G63" cm="1">
        <f t="array" ref="G63">SUM(IF("X"=G37:G57,1, 0))</f>
        <v>15</v>
      </c>
      <c r="H63" cm="1">
        <f t="array" ref="H63">SUM(IF("X"=H37:H57,1, 0))</f>
        <v>11</v>
      </c>
      <c r="I63" cm="1">
        <f t="array" ref="I63">SUM(IF("X"=I37:I57,1, 0))</f>
        <v>11</v>
      </c>
      <c r="J63" cm="1">
        <f t="array" ref="J63">SUM(IF("X"=J37:J57,1, 0))</f>
        <v>14</v>
      </c>
      <c r="K63" cm="1">
        <f t="array" ref="K63">SUM(IF("X"=K37:K57,1, 0))</f>
        <v>15</v>
      </c>
      <c r="L63" cm="1">
        <f t="array" ref="L63">SUM(IF("X"=L37:L57,1, 0))</f>
        <v>13</v>
      </c>
      <c r="M63" cm="1">
        <f t="array" ref="M63">SUM(IF("X"=M37:M57,1, 0))</f>
        <v>14</v>
      </c>
      <c r="N63" cm="1">
        <f t="array" ref="N63">SUM(IF("X"=N37:N57,1, 0))</f>
        <v>15</v>
      </c>
      <c r="O63" cm="1">
        <f t="array" ref="O63">SUM(IF("X"=O37:O57,1, 0))</f>
        <v>18</v>
      </c>
      <c r="P63" cm="1">
        <f t="array" ref="P63">SUM(IF("X"=P37:P57,1, 0))</f>
        <v>21</v>
      </c>
      <c r="Q63" cm="1">
        <f t="array" ref="Q63">SUM(IF("X"=Q37:Q57,1, 0))</f>
        <v>17</v>
      </c>
      <c r="R63" cm="1">
        <f t="array" ref="R63">SUM(IF("X"=R37:R57,1, 0))</f>
        <v>20</v>
      </c>
      <c r="S63" cm="1">
        <f t="array" ref="S63">SUM(IF("X"=S37:S57,1, 0))</f>
        <v>13</v>
      </c>
      <c r="T63" cm="1">
        <f t="array" ref="T63">SUM(IF("X"=T37:T57,1, 0))</f>
        <v>11</v>
      </c>
      <c r="U63" cm="1">
        <f t="array" ref="U63">SUM(IF("X"=U37:U57,1, 0))</f>
        <v>12</v>
      </c>
      <c r="V63" cm="1">
        <f t="array" ref="V63">SUM(IF("X"=V37:V57,1, 0))</f>
        <v>14</v>
      </c>
      <c r="W63" cm="1">
        <f t="array" ref="W63">SUM(IF("X"=W37:W57,1, 0))</f>
        <v>16</v>
      </c>
      <c r="X63" cm="1">
        <f t="array" ref="X63">SUM(IF("X"=X37:X57,1, 0))</f>
        <v>12</v>
      </c>
      <c r="Y63" cm="1">
        <f t="array" ref="Y63">SUM(IF("X"=Y37:Y57,1, 0))</f>
        <v>15</v>
      </c>
      <c r="Z63" cm="1">
        <f t="array" ref="Z63">SUM(IF("X"=Z37:Z57,1, 0))</f>
        <v>16</v>
      </c>
      <c r="AA63" cm="1">
        <f t="array" ref="AA63">SUM(IF("X"=AA37:AA57,1, 0))</f>
        <v>16</v>
      </c>
    </row>
    <row r="64" spans="1:33" x14ac:dyDescent="0.2">
      <c r="F64" s="1">
        <f>F63/$A$59</f>
        <v>0.90476190476190477</v>
      </c>
      <c r="G64" s="1">
        <f t="shared" ref="G64:AA64" si="3">G63/$A$59</f>
        <v>0.7142857142857143</v>
      </c>
      <c r="H64" s="1">
        <f t="shared" si="3"/>
        <v>0.52380952380952384</v>
      </c>
      <c r="I64" s="1">
        <f t="shared" si="3"/>
        <v>0.52380952380952384</v>
      </c>
      <c r="J64" s="1">
        <f t="shared" si="3"/>
        <v>0.66666666666666663</v>
      </c>
      <c r="K64" s="1">
        <f t="shared" si="3"/>
        <v>0.7142857142857143</v>
      </c>
      <c r="L64" s="1">
        <f t="shared" si="3"/>
        <v>0.61904761904761907</v>
      </c>
      <c r="M64" s="1">
        <f t="shared" si="3"/>
        <v>0.66666666666666663</v>
      </c>
      <c r="N64" s="1">
        <f t="shared" si="3"/>
        <v>0.7142857142857143</v>
      </c>
      <c r="O64" s="1">
        <f t="shared" si="3"/>
        <v>0.8571428571428571</v>
      </c>
      <c r="P64" s="1">
        <f t="shared" si="3"/>
        <v>1</v>
      </c>
      <c r="Q64" s="1">
        <f t="shared" si="3"/>
        <v>0.80952380952380953</v>
      </c>
      <c r="R64" s="1">
        <f t="shared" si="3"/>
        <v>0.95238095238095233</v>
      </c>
      <c r="S64" s="1">
        <f t="shared" si="3"/>
        <v>0.61904761904761907</v>
      </c>
      <c r="T64" s="1">
        <f t="shared" si="3"/>
        <v>0.52380952380952384</v>
      </c>
      <c r="U64" s="1">
        <f t="shared" si="3"/>
        <v>0.5714285714285714</v>
      </c>
      <c r="V64" s="1">
        <f t="shared" si="3"/>
        <v>0.66666666666666663</v>
      </c>
      <c r="W64" s="1">
        <f t="shared" si="3"/>
        <v>0.76190476190476186</v>
      </c>
      <c r="X64" s="1">
        <f t="shared" si="3"/>
        <v>0.5714285714285714</v>
      </c>
      <c r="Y64" s="1">
        <f t="shared" si="3"/>
        <v>0.7142857142857143</v>
      </c>
      <c r="Z64" s="1">
        <f t="shared" si="3"/>
        <v>0.76190476190476186</v>
      </c>
      <c r="AA64" s="1">
        <f t="shared" si="3"/>
        <v>0.76190476190476186</v>
      </c>
    </row>
    <row r="66" spans="1:29" x14ac:dyDescent="0.2">
      <c r="A66" t="s">
        <v>58</v>
      </c>
      <c r="B66">
        <v>17</v>
      </c>
      <c r="C66">
        <v>21</v>
      </c>
      <c r="F66" t="s">
        <v>53</v>
      </c>
      <c r="G66" t="s">
        <v>53</v>
      </c>
      <c r="H66" t="s">
        <v>43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R66" t="s">
        <v>53</v>
      </c>
      <c r="S66" t="s">
        <v>43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53</v>
      </c>
      <c r="AA66" t="s">
        <v>53</v>
      </c>
      <c r="AB66" cm="1">
        <f t="array" ref="AB66">SUM(IF("X" = F66:AA66, 1, 0))</f>
        <v>19</v>
      </c>
      <c r="AC66" cm="1">
        <f t="array" ref="AC66">SUM(IF("?" = F66:AA66, 1, 0)) + AB66</f>
        <v>21</v>
      </c>
    </row>
    <row r="68" spans="1:29" x14ac:dyDescent="0.2">
      <c r="F68" s="1">
        <f>F64-F61</f>
        <v>5.6277056277056259E-2</v>
      </c>
      <c r="G68" s="2">
        <f t="shared" ref="G68:AA68" si="4">G64-G61</f>
        <v>-0.25541125541125542</v>
      </c>
      <c r="H68" s="1">
        <f t="shared" si="4"/>
        <v>6.9264069264069306E-2</v>
      </c>
      <c r="I68" s="1">
        <f t="shared" si="4"/>
        <v>6.9264069264069306E-2</v>
      </c>
      <c r="J68" s="1">
        <f t="shared" si="4"/>
        <v>0</v>
      </c>
      <c r="K68" s="1">
        <f t="shared" si="4"/>
        <v>7.7922077922077948E-2</v>
      </c>
      <c r="L68" s="1">
        <f t="shared" si="4"/>
        <v>0.19480519480519481</v>
      </c>
      <c r="M68" s="1">
        <f t="shared" si="4"/>
        <v>0</v>
      </c>
      <c r="N68" s="2">
        <f t="shared" si="4"/>
        <v>-0.10389610389610393</v>
      </c>
      <c r="O68" s="1">
        <f t="shared" si="4"/>
        <v>3.8961038961038863E-2</v>
      </c>
      <c r="P68" s="1">
        <f t="shared" si="4"/>
        <v>0.21212121212121215</v>
      </c>
      <c r="Q68" s="2">
        <f t="shared" si="4"/>
        <v>-8.6580086580086979E-3</v>
      </c>
      <c r="R68" s="2">
        <f t="shared" si="4"/>
        <v>-1.7316017316017396E-2</v>
      </c>
      <c r="S68" s="7">
        <f t="shared" si="4"/>
        <v>-0.10822510822510822</v>
      </c>
      <c r="T68" s="2">
        <f t="shared" si="4"/>
        <v>-0.44588744588744589</v>
      </c>
      <c r="U68" s="2">
        <f t="shared" si="4"/>
        <v>-0.39826839826839833</v>
      </c>
      <c r="V68" s="1">
        <f t="shared" si="4"/>
        <v>6.0606060606060552E-2</v>
      </c>
      <c r="W68" s="2">
        <f t="shared" si="4"/>
        <v>-5.627705627705637E-2</v>
      </c>
      <c r="X68" s="1">
        <f t="shared" si="4"/>
        <v>0.29870129870129869</v>
      </c>
      <c r="Y68" s="1">
        <f t="shared" si="4"/>
        <v>0.10822510822510822</v>
      </c>
      <c r="Z68" s="1">
        <f t="shared" si="4"/>
        <v>0.33766233766233761</v>
      </c>
      <c r="AA68" s="7">
        <f t="shared" si="4"/>
        <v>-0.11688311688311692</v>
      </c>
    </row>
    <row r="69" spans="1:29" x14ac:dyDescent="0.2">
      <c r="G69" t="s">
        <v>53</v>
      </c>
      <c r="N69" t="s">
        <v>53</v>
      </c>
      <c r="Q69" t="s">
        <v>53</v>
      </c>
      <c r="R69" t="s">
        <v>53</v>
      </c>
      <c r="T69" t="s">
        <v>53</v>
      </c>
      <c r="U69" t="s">
        <v>53</v>
      </c>
      <c r="W69" t="s">
        <v>53</v>
      </c>
    </row>
    <row r="72" spans="1:29" x14ac:dyDescent="0.2">
      <c r="F72" s="6">
        <f>(F64/F61)</f>
        <v>1.0663265306122449</v>
      </c>
      <c r="G72" s="6">
        <f t="shared" ref="G72:AA72" si="5">(G64/G61)</f>
        <v>0.7366071428571429</v>
      </c>
      <c r="H72" s="6">
        <f t="shared" si="5"/>
        <v>1.1523809523809525</v>
      </c>
      <c r="I72" s="6">
        <f t="shared" si="5"/>
        <v>1.1523809523809525</v>
      </c>
      <c r="J72" s="6">
        <f t="shared" si="5"/>
        <v>1</v>
      </c>
      <c r="K72" s="6">
        <f t="shared" si="5"/>
        <v>1.1224489795918369</v>
      </c>
      <c r="L72" s="6">
        <f t="shared" si="5"/>
        <v>1.4591836734693877</v>
      </c>
      <c r="M72" s="6">
        <f t="shared" si="5"/>
        <v>1</v>
      </c>
      <c r="N72" s="6">
        <f t="shared" si="5"/>
        <v>0.87301587301587302</v>
      </c>
      <c r="O72" s="6">
        <f t="shared" si="5"/>
        <v>1.0476190476190474</v>
      </c>
      <c r="P72" s="6">
        <f t="shared" si="5"/>
        <v>1.2692307692307694</v>
      </c>
      <c r="Q72" s="6">
        <f t="shared" si="5"/>
        <v>0.98941798941798942</v>
      </c>
      <c r="R72" s="6">
        <f t="shared" si="5"/>
        <v>0.9821428571428571</v>
      </c>
      <c r="S72" s="6">
        <f t="shared" si="5"/>
        <v>0.85119047619047616</v>
      </c>
      <c r="T72" s="6">
        <f t="shared" si="5"/>
        <v>0.5401785714285714</v>
      </c>
      <c r="U72" s="6">
        <f t="shared" si="5"/>
        <v>0.58928571428571419</v>
      </c>
      <c r="V72" s="6">
        <f t="shared" si="5"/>
        <v>1.0999999999999999</v>
      </c>
      <c r="W72" s="6">
        <f t="shared" si="5"/>
        <v>0.93121693121693105</v>
      </c>
      <c r="X72" s="6">
        <f t="shared" si="5"/>
        <v>2.0952380952380953</v>
      </c>
      <c r="Y72" s="6">
        <f t="shared" si="5"/>
        <v>1.1785714285714286</v>
      </c>
      <c r="Z72" s="6">
        <f t="shared" si="5"/>
        <v>1.7959183673469385</v>
      </c>
      <c r="AA72" s="6">
        <f t="shared" si="5"/>
        <v>0.86699507389162556</v>
      </c>
      <c r="AC72">
        <f>PRODUCT((F72:AA72))</f>
        <v>2.0565606365018869</v>
      </c>
    </row>
    <row r="74" spans="1:29" x14ac:dyDescent="0.2">
      <c r="F74">
        <f>((F60)/(33))/((F63)/($A$59))</f>
        <v>0.93779904306220097</v>
      </c>
      <c r="G74">
        <f t="shared" ref="G74:AA74" si="6">((G60)/(33))/((G63)/($A$59))</f>
        <v>1.3575757575757577</v>
      </c>
      <c r="H74">
        <f t="shared" si="6"/>
        <v>0.8677685950413222</v>
      </c>
      <c r="I74">
        <f t="shared" si="6"/>
        <v>0.8677685950413222</v>
      </c>
      <c r="J74">
        <f t="shared" si="6"/>
        <v>1</v>
      </c>
      <c r="K74">
        <f t="shared" si="6"/>
        <v>0.89090909090909087</v>
      </c>
      <c r="L74">
        <f t="shared" si="6"/>
        <v>0.68531468531468531</v>
      </c>
      <c r="M74">
        <f t="shared" si="6"/>
        <v>1</v>
      </c>
      <c r="N74">
        <f t="shared" si="6"/>
        <v>1.1454545454545455</v>
      </c>
      <c r="O74">
        <f t="shared" si="6"/>
        <v>0.9545454545454547</v>
      </c>
      <c r="P74">
        <f t="shared" si="6"/>
        <v>0.78787878787878785</v>
      </c>
      <c r="Q74">
        <f t="shared" si="6"/>
        <v>1.0106951871657754</v>
      </c>
      <c r="R74">
        <f t="shared" si="6"/>
        <v>1.0181818181818183</v>
      </c>
      <c r="S74">
        <f t="shared" si="6"/>
        <v>1.1748251748251748</v>
      </c>
      <c r="T74">
        <f t="shared" si="6"/>
        <v>1.8512396694214877</v>
      </c>
      <c r="U74">
        <f t="shared" si="6"/>
        <v>1.696969696969697</v>
      </c>
      <c r="V74">
        <f t="shared" si="6"/>
        <v>0.90909090909090917</v>
      </c>
      <c r="W74">
        <f t="shared" si="6"/>
        <v>1.0738636363636365</v>
      </c>
      <c r="X74">
        <f t="shared" si="6"/>
        <v>0.47727272727272724</v>
      </c>
      <c r="Y74">
        <f t="shared" si="6"/>
        <v>0.84848484848484851</v>
      </c>
      <c r="Z74">
        <f t="shared" si="6"/>
        <v>0.55681818181818188</v>
      </c>
      <c r="AA74">
        <f t="shared" si="6"/>
        <v>1.1534090909090911</v>
      </c>
      <c r="AC74">
        <f>PRODUCT((F74:AA74))</f>
        <v>0.48624873113440192</v>
      </c>
    </row>
    <row r="75" spans="1:29" x14ac:dyDescent="0.2">
      <c r="F75">
        <f>((F60+1)/(33+2))/((F63+1)/($A$59+2))</f>
        <v>0.95285714285714296</v>
      </c>
      <c r="G75">
        <f t="shared" ref="G75:Z75" si="7">((G60+1)/(33+2))/((G63+1)/($A$59+2))</f>
        <v>1.3553571428571429</v>
      </c>
      <c r="H75">
        <f t="shared" si="7"/>
        <v>0.87619047619047619</v>
      </c>
      <c r="I75">
        <f t="shared" si="7"/>
        <v>0.87619047619047619</v>
      </c>
      <c r="J75">
        <f t="shared" si="7"/>
        <v>1.0076190476190476</v>
      </c>
      <c r="K75">
        <f t="shared" si="7"/>
        <v>0.90357142857142858</v>
      </c>
      <c r="L75">
        <f t="shared" si="7"/>
        <v>0.70408163265306112</v>
      </c>
      <c r="M75">
        <f t="shared" si="7"/>
        <v>1.0076190476190476</v>
      </c>
      <c r="N75">
        <f t="shared" si="7"/>
        <v>1.1500000000000001</v>
      </c>
      <c r="O75">
        <f t="shared" si="7"/>
        <v>0.96842105263157896</v>
      </c>
      <c r="P75">
        <f t="shared" si="7"/>
        <v>0.80649350649350648</v>
      </c>
      <c r="Q75">
        <f t="shared" si="7"/>
        <v>1.0222222222222221</v>
      </c>
      <c r="R75">
        <f t="shared" si="7"/>
        <v>1.0326530612244897</v>
      </c>
      <c r="S75">
        <f t="shared" si="7"/>
        <v>1.1734693877551019</v>
      </c>
      <c r="T75">
        <f t="shared" si="7"/>
        <v>1.8071428571428572</v>
      </c>
      <c r="U75">
        <f t="shared" si="7"/>
        <v>1.6681318681318682</v>
      </c>
      <c r="V75">
        <f t="shared" si="7"/>
        <v>0.91999999999999993</v>
      </c>
      <c r="W75">
        <f t="shared" si="7"/>
        <v>1.0823529411764707</v>
      </c>
      <c r="X75">
        <f t="shared" si="7"/>
        <v>0.50549450549450547</v>
      </c>
      <c r="Y75">
        <f t="shared" si="7"/>
        <v>0.86250000000000004</v>
      </c>
      <c r="Z75">
        <f t="shared" si="7"/>
        <v>0.57983193277310929</v>
      </c>
      <c r="AA75">
        <f>((AA60+1)/(33+2))/((AA63+1)/($A$59+2))</f>
        <v>1.1596638655462186</v>
      </c>
      <c r="AC75">
        <f>PRODUCT((F75:AA75))</f>
        <v>0.62701898321550953</v>
      </c>
    </row>
    <row r="78" spans="1:29" x14ac:dyDescent="0.2">
      <c r="F78">
        <f>1/((F63+1)/(F63+F60+2))</f>
        <v>2.4499999999999997</v>
      </c>
      <c r="G78">
        <f t="shared" ref="G78:Z78" si="8">1/((G63+1)/(G63+G60+2))</f>
        <v>3.0625000000000004</v>
      </c>
      <c r="H78">
        <f t="shared" si="8"/>
        <v>2.3333333333333335</v>
      </c>
      <c r="I78">
        <f t="shared" si="8"/>
        <v>2.3333333333333335</v>
      </c>
      <c r="J78">
        <f t="shared" si="8"/>
        <v>2.5333333333333332</v>
      </c>
      <c r="K78">
        <f t="shared" si="8"/>
        <v>2.375</v>
      </c>
      <c r="L78">
        <f t="shared" si="8"/>
        <v>2.0714285714285712</v>
      </c>
      <c r="M78">
        <f t="shared" si="8"/>
        <v>2.5333333333333332</v>
      </c>
      <c r="N78">
        <f t="shared" si="8"/>
        <v>2.75</v>
      </c>
      <c r="O78">
        <f t="shared" si="8"/>
        <v>2.4736842105263159</v>
      </c>
      <c r="P78">
        <f t="shared" si="8"/>
        <v>2.2272727272727271</v>
      </c>
      <c r="Q78">
        <f t="shared" si="8"/>
        <v>2.5555555555555554</v>
      </c>
      <c r="R78">
        <f t="shared" si="8"/>
        <v>2.5714285714285712</v>
      </c>
      <c r="S78">
        <f t="shared" si="8"/>
        <v>2.7857142857142856</v>
      </c>
      <c r="T78">
        <f t="shared" si="8"/>
        <v>3.75</v>
      </c>
      <c r="U78">
        <f t="shared" si="8"/>
        <v>3.5384615384615388</v>
      </c>
      <c r="V78">
        <f t="shared" si="8"/>
        <v>2.4</v>
      </c>
      <c r="W78">
        <f t="shared" si="8"/>
        <v>2.6470588235294117</v>
      </c>
      <c r="X78">
        <f t="shared" si="8"/>
        <v>1.7692307692307694</v>
      </c>
      <c r="Y78">
        <f t="shared" si="8"/>
        <v>2.3125</v>
      </c>
      <c r="Z78">
        <f t="shared" si="8"/>
        <v>1.8823529411764706</v>
      </c>
      <c r="AA78">
        <f>1/((AA63+1)/(AA63+AA60+2))</f>
        <v>2.7647058823529411</v>
      </c>
      <c r="AC78">
        <f>PRODUCT((F78:AA78))</f>
        <v>642092380.7669512</v>
      </c>
    </row>
    <row r="82" spans="6:29" x14ac:dyDescent="0.2">
      <c r="F82">
        <f ca="1">_xlfn.NORM.INV(RAND(),0,STDEV($F74:$AA74))</f>
        <v>-2.8297454323372617E-2</v>
      </c>
      <c r="G82">
        <f t="shared" ref="G82:AA83" ca="1" si="9">_xlfn.NORM.INV(RAND(),0,STDEV($F74:$AA74))</f>
        <v>0.35936268571535118</v>
      </c>
      <c r="H82">
        <f t="shared" ca="1" si="9"/>
        <v>5.2153639998995284E-2</v>
      </c>
      <c r="I82">
        <f t="shared" ca="1" si="9"/>
        <v>0.1357484443585297</v>
      </c>
      <c r="J82">
        <f t="shared" ca="1" si="9"/>
        <v>0.3439188489250809</v>
      </c>
      <c r="K82">
        <f t="shared" ca="1" si="9"/>
        <v>-9.5077989352708295E-2</v>
      </c>
      <c r="L82">
        <f t="shared" ca="1" si="9"/>
        <v>-0.39547700230818478</v>
      </c>
      <c r="M82">
        <f t="shared" ca="1" si="9"/>
        <v>-0.29185567336885448</v>
      </c>
      <c r="N82">
        <f t="shared" ca="1" si="9"/>
        <v>0.12731813837251846</v>
      </c>
      <c r="O82">
        <f t="shared" ca="1" si="9"/>
        <v>-0.2117535855821305</v>
      </c>
      <c r="P82">
        <f t="shared" ca="1" si="9"/>
        <v>0.68247372697375575</v>
      </c>
      <c r="Q82">
        <f t="shared" ca="1" si="9"/>
        <v>0.39368863184221342</v>
      </c>
      <c r="R82">
        <f t="shared" ca="1" si="9"/>
        <v>1.7746378168761401E-2</v>
      </c>
      <c r="S82">
        <f t="shared" ca="1" si="9"/>
        <v>0.14430683202462502</v>
      </c>
      <c r="T82">
        <f t="shared" ca="1" si="9"/>
        <v>-2.5788324449869124E-3</v>
      </c>
      <c r="U82">
        <f t="shared" ca="1" si="9"/>
        <v>0.49555354034712001</v>
      </c>
      <c r="V82">
        <f t="shared" ca="1" si="9"/>
        <v>-0.42863440474041542</v>
      </c>
      <c r="W82">
        <f t="shared" ca="1" si="9"/>
        <v>-5.7367094889111563E-2</v>
      </c>
      <c r="X82">
        <f t="shared" ca="1" si="9"/>
        <v>0.12105078023182431</v>
      </c>
      <c r="Y82">
        <f t="shared" ca="1" si="9"/>
        <v>-0.77726712988231361</v>
      </c>
      <c r="Z82">
        <f t="shared" ca="1" si="9"/>
        <v>0.43569758517084911</v>
      </c>
      <c r="AA82">
        <f t="shared" ca="1" si="9"/>
        <v>-0.16125034314039316</v>
      </c>
    </row>
    <row r="83" spans="6:29" x14ac:dyDescent="0.2">
      <c r="F83">
        <f ca="1">_xlfn.NORM.INV(RAND(),0,STDEV($F75:$AA75))</f>
        <v>-0.15692557090844328</v>
      </c>
      <c r="G83">
        <f t="shared" ca="1" si="9"/>
        <v>-0.15800825482284273</v>
      </c>
      <c r="H83">
        <f t="shared" ca="1" si="9"/>
        <v>-0.27836460110755235</v>
      </c>
      <c r="I83">
        <f t="shared" ca="1" si="9"/>
        <v>0.21531958017607614</v>
      </c>
      <c r="J83">
        <f t="shared" ca="1" si="9"/>
        <v>-0.54192714971101019</v>
      </c>
      <c r="K83">
        <f t="shared" ca="1" si="9"/>
        <v>-0.26260459114407575</v>
      </c>
      <c r="L83">
        <f t="shared" ca="1" si="9"/>
        <v>6.6696747866518663E-2</v>
      </c>
      <c r="M83">
        <f t="shared" ca="1" si="9"/>
        <v>0.23242307450280389</v>
      </c>
      <c r="N83">
        <f t="shared" ca="1" si="9"/>
        <v>-0.10757393576214098</v>
      </c>
      <c r="O83">
        <f t="shared" ca="1" si="9"/>
        <v>-0.17242511840726241</v>
      </c>
      <c r="P83">
        <f t="shared" ca="1" si="9"/>
        <v>-0.11961841627951646</v>
      </c>
      <c r="Q83">
        <f t="shared" ca="1" si="9"/>
        <v>0.13182184541606931</v>
      </c>
      <c r="R83">
        <f t="shared" ca="1" si="9"/>
        <v>0.49682691168281246</v>
      </c>
      <c r="S83">
        <f t="shared" ca="1" si="9"/>
        <v>-0.6680839052145392</v>
      </c>
      <c r="T83">
        <f t="shared" ca="1" si="9"/>
        <v>0.55126895302105838</v>
      </c>
      <c r="U83">
        <f t="shared" ca="1" si="9"/>
        <v>0.44056849686970939</v>
      </c>
      <c r="V83">
        <f t="shared" ca="1" si="9"/>
        <v>-0.45804603585154374</v>
      </c>
      <c r="W83">
        <f t="shared" ca="1" si="9"/>
        <v>0.42846525668724245</v>
      </c>
      <c r="X83">
        <f t="shared" ca="1" si="9"/>
        <v>-0.18876450033307515</v>
      </c>
      <c r="Y83">
        <f t="shared" ca="1" si="9"/>
        <v>-1.1609663000296498E-2</v>
      </c>
      <c r="Z83">
        <f t="shared" ca="1" si="9"/>
        <v>8.2660030041458707E-2</v>
      </c>
      <c r="AA83">
        <f t="shared" ca="1" si="9"/>
        <v>-1.9099793689633951E-2</v>
      </c>
    </row>
    <row r="85" spans="6:29" x14ac:dyDescent="0.2">
      <c r="AB85" t="s">
        <v>86</v>
      </c>
      <c r="AC85">
        <f ca="1">_xlfn.T.TEST(F74:AA74,F82:AA82,2,2)</f>
        <v>2.1526600351641824E-12</v>
      </c>
    </row>
    <row r="86" spans="6:29" x14ac:dyDescent="0.2">
      <c r="AC86">
        <f ca="1">_xlfn.T.TEST(F75:AA75,F83:AA83,2,2)</f>
        <v>7.4954727437187269E-14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53FB-4780-6F4F-82FE-23BF203A651A}">
  <dimension ref="A1:AG32"/>
  <sheetViews>
    <sheetView workbookViewId="0">
      <selection activeCell="AB8" sqref="AB8"/>
    </sheetView>
  </sheetViews>
  <sheetFormatPr baseColWidth="10" defaultRowHeight="16" x14ac:dyDescent="0.2"/>
  <cols>
    <col min="1" max="1" width="13.33203125" bestFit="1" customWidth="1"/>
    <col min="2" max="2" width="11.33203125" bestFit="1" customWidth="1"/>
    <col min="3" max="3" width="11.6640625" bestFit="1" customWidth="1"/>
  </cols>
  <sheetData>
    <row r="1" spans="1:33" s="3" customFormat="1" ht="19" x14ac:dyDescent="0.25">
      <c r="A1" s="3" t="s">
        <v>0</v>
      </c>
      <c r="B1" s="3" t="s">
        <v>1</v>
      </c>
      <c r="C1" s="3" t="s">
        <v>2</v>
      </c>
      <c r="F1" s="4">
        <v>1</v>
      </c>
      <c r="G1" s="4">
        <v>2</v>
      </c>
      <c r="H1" s="4">
        <v>3</v>
      </c>
      <c r="I1" s="4">
        <v>4</v>
      </c>
      <c r="J1" s="4">
        <v>5</v>
      </c>
      <c r="K1" s="4">
        <v>6</v>
      </c>
      <c r="L1" s="4">
        <v>7</v>
      </c>
      <c r="M1" s="4">
        <v>8</v>
      </c>
      <c r="N1" s="4">
        <v>9</v>
      </c>
      <c r="O1" s="4">
        <v>10</v>
      </c>
      <c r="P1" s="4">
        <v>11</v>
      </c>
      <c r="Q1" s="4">
        <v>12</v>
      </c>
      <c r="R1" s="4">
        <v>13</v>
      </c>
      <c r="S1" s="4">
        <v>14</v>
      </c>
      <c r="T1" s="4">
        <v>15</v>
      </c>
      <c r="U1" s="4">
        <v>16</v>
      </c>
      <c r="V1" s="4">
        <v>17</v>
      </c>
      <c r="W1" s="4">
        <v>18</v>
      </c>
      <c r="X1" s="4">
        <v>19</v>
      </c>
      <c r="Y1" s="4">
        <v>20</v>
      </c>
      <c r="Z1" s="4">
        <v>21</v>
      </c>
      <c r="AA1" s="4">
        <v>22</v>
      </c>
      <c r="AB1" s="3" t="s">
        <v>55</v>
      </c>
      <c r="AC1" s="3" t="s">
        <v>56</v>
      </c>
    </row>
    <row r="2" spans="1:33" x14ac:dyDescent="0.2">
      <c r="A2" t="s">
        <v>34</v>
      </c>
      <c r="B2">
        <v>21</v>
      </c>
      <c r="C2">
        <v>21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cm="1">
        <f t="array" ref="AB2">SUM(IF("X" = F2:AA2, 1, 0))</f>
        <v>21</v>
      </c>
      <c r="AC2" cm="1">
        <f t="array" ref="AC2">SUM(IF("?" = F2:AA2, 1, 0)) + AB2</f>
        <v>21</v>
      </c>
      <c r="AF2" t="b">
        <f t="shared" ref="AF2:AG17" si="0">AB2=B2</f>
        <v>1</v>
      </c>
      <c r="AG2" t="b">
        <f t="shared" si="0"/>
        <v>1</v>
      </c>
    </row>
    <row r="3" spans="1:33" x14ac:dyDescent="0.2">
      <c r="A3" t="s">
        <v>35</v>
      </c>
      <c r="B3">
        <v>19</v>
      </c>
      <c r="C3">
        <v>20</v>
      </c>
      <c r="F3" t="s">
        <v>53</v>
      </c>
      <c r="G3" t="s">
        <v>53</v>
      </c>
      <c r="I3" t="s">
        <v>53</v>
      </c>
      <c r="J3" t="s">
        <v>53</v>
      </c>
      <c r="K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cm="1">
        <f t="array" ref="AB3">SUM(IF("X" = F3:AA3, 1, 0))</f>
        <v>20</v>
      </c>
      <c r="AC3" cm="1">
        <f t="array" ref="AC3">SUM(IF("?" = F3:AA3, 1, 0)) + AB3</f>
        <v>20</v>
      </c>
      <c r="AF3" t="b">
        <f t="shared" si="0"/>
        <v>0</v>
      </c>
      <c r="AG3" t="b">
        <f t="shared" si="0"/>
        <v>1</v>
      </c>
    </row>
    <row r="4" spans="1:33" x14ac:dyDescent="0.2">
      <c r="A4" t="s">
        <v>36</v>
      </c>
      <c r="B4">
        <v>18</v>
      </c>
      <c r="C4">
        <v>18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O4" t="s">
        <v>53</v>
      </c>
      <c r="P4" t="s">
        <v>53</v>
      </c>
      <c r="Q4" t="s">
        <v>53</v>
      </c>
      <c r="T4" t="s">
        <v>53</v>
      </c>
      <c r="U4" t="s">
        <v>53</v>
      </c>
      <c r="V4" t="s">
        <v>53</v>
      </c>
      <c r="W4" t="s">
        <v>53</v>
      </c>
      <c r="Y4" t="s">
        <v>53</v>
      </c>
      <c r="Z4" t="s">
        <v>53</v>
      </c>
      <c r="AA4" t="s">
        <v>53</v>
      </c>
      <c r="AB4" cm="1">
        <f t="array" ref="AB4">SUM(IF("X" = F4:AA4, 1, 0))</f>
        <v>18</v>
      </c>
      <c r="AC4" cm="1">
        <f t="array" ref="AC4">SUM(IF("?" = F4:AA4, 1, 0)) + AB4</f>
        <v>18</v>
      </c>
      <c r="AF4" t="b">
        <f t="shared" si="0"/>
        <v>1</v>
      </c>
      <c r="AG4" t="b">
        <f t="shared" si="0"/>
        <v>1</v>
      </c>
    </row>
    <row r="5" spans="1:33" x14ac:dyDescent="0.2">
      <c r="A5" t="s">
        <v>37</v>
      </c>
      <c r="B5">
        <v>17</v>
      </c>
      <c r="C5">
        <v>17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cm="1">
        <f t="array" ref="AB5">SUM(IF("X" = F5:AA5, 1, 0))</f>
        <v>17</v>
      </c>
      <c r="AC5" cm="1">
        <f t="array" ref="AC5">SUM(IF("?" = F5:AA5, 1, 0)) + AB5</f>
        <v>17</v>
      </c>
      <c r="AF5" t="b">
        <f t="shared" si="0"/>
        <v>1</v>
      </c>
      <c r="AG5" t="b">
        <f t="shared" si="0"/>
        <v>1</v>
      </c>
    </row>
    <row r="6" spans="1:33" x14ac:dyDescent="0.2">
      <c r="A6" t="s">
        <v>38</v>
      </c>
      <c r="B6">
        <v>17</v>
      </c>
      <c r="C6">
        <v>18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W6" t="s">
        <v>53</v>
      </c>
      <c r="Y6" t="s">
        <v>53</v>
      </c>
      <c r="Z6" t="s">
        <v>53</v>
      </c>
      <c r="AA6" t="s">
        <v>53</v>
      </c>
      <c r="AB6" cm="1">
        <f t="array" ref="AB6">SUM(IF("X" = F6:AA6, 1, 0))</f>
        <v>18</v>
      </c>
      <c r="AC6" cm="1">
        <f t="array" ref="AC6">SUM(IF("?" = F6:AA6, 1, 0)) + AB6</f>
        <v>18</v>
      </c>
      <c r="AF6" t="b">
        <f t="shared" si="0"/>
        <v>0</v>
      </c>
      <c r="AG6" t="b">
        <f t="shared" si="0"/>
        <v>1</v>
      </c>
    </row>
    <row r="7" spans="1:33" x14ac:dyDescent="0.2">
      <c r="A7" t="s">
        <v>39</v>
      </c>
      <c r="B7">
        <v>15</v>
      </c>
      <c r="C7">
        <v>15</v>
      </c>
      <c r="F7" t="s">
        <v>53</v>
      </c>
      <c r="G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V7" t="s">
        <v>53</v>
      </c>
      <c r="W7" t="s">
        <v>53</v>
      </c>
      <c r="Y7" t="s">
        <v>53</v>
      </c>
      <c r="Z7" t="s">
        <v>53</v>
      </c>
      <c r="AA7" t="s">
        <v>53</v>
      </c>
      <c r="AB7" cm="1">
        <f t="array" ref="AB7">SUM(IF("X" = F7:AA7, 1, 0))</f>
        <v>15</v>
      </c>
      <c r="AC7" cm="1">
        <f t="array" ref="AC7">SUM(IF("?" = F7:AA7, 1, 0)) + AB7</f>
        <v>15</v>
      </c>
      <c r="AF7" t="b">
        <f t="shared" si="0"/>
        <v>1</v>
      </c>
      <c r="AG7" t="b">
        <f t="shared" si="0"/>
        <v>1</v>
      </c>
    </row>
    <row r="8" spans="1:33" x14ac:dyDescent="0.2">
      <c r="A8" t="s">
        <v>40</v>
      </c>
      <c r="B8">
        <v>14</v>
      </c>
      <c r="C8">
        <v>16</v>
      </c>
      <c r="F8" t="s">
        <v>53</v>
      </c>
      <c r="G8" t="s">
        <v>53</v>
      </c>
      <c r="J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53</v>
      </c>
      <c r="AA8" t="s">
        <v>53</v>
      </c>
      <c r="AB8" cm="1">
        <f t="array" ref="AB8">SUM(IF("X" = F8:AA8, 1, 0))</f>
        <v>16</v>
      </c>
      <c r="AC8" cm="1">
        <f t="array" ref="AC8">SUM(IF("?" = F8:AA8, 1, 0)) + AB8</f>
        <v>16</v>
      </c>
      <c r="AF8" t="b">
        <f t="shared" si="0"/>
        <v>0</v>
      </c>
      <c r="AG8" t="b">
        <f t="shared" si="0"/>
        <v>1</v>
      </c>
    </row>
    <row r="9" spans="1:33" x14ac:dyDescent="0.2">
      <c r="A9" t="s">
        <v>41</v>
      </c>
      <c r="B9">
        <v>13</v>
      </c>
      <c r="C9">
        <v>13</v>
      </c>
      <c r="F9" t="s">
        <v>53</v>
      </c>
      <c r="G9" t="s">
        <v>53</v>
      </c>
      <c r="J9" t="s">
        <v>53</v>
      </c>
      <c r="K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Y9" t="s">
        <v>53</v>
      </c>
      <c r="AA9" t="s">
        <v>53</v>
      </c>
      <c r="AB9" cm="1">
        <f t="array" ref="AB9">SUM(IF("X" = F9:AA9, 1, 0))</f>
        <v>13</v>
      </c>
      <c r="AC9" cm="1">
        <f t="array" ref="AC9">SUM(IF("?" = F9:AA9, 1, 0)) + AB9</f>
        <v>13</v>
      </c>
      <c r="AF9" t="b">
        <f t="shared" si="0"/>
        <v>1</v>
      </c>
      <c r="AG9" t="b">
        <f t="shared" si="0"/>
        <v>1</v>
      </c>
    </row>
    <row r="10" spans="1:33" x14ac:dyDescent="0.2">
      <c r="A10" t="s">
        <v>44</v>
      </c>
      <c r="B10">
        <v>19</v>
      </c>
      <c r="C10">
        <v>19</v>
      </c>
      <c r="F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R10" t="s">
        <v>53</v>
      </c>
      <c r="S10" t="s">
        <v>53</v>
      </c>
      <c r="T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53</v>
      </c>
      <c r="AA10" t="s">
        <v>53</v>
      </c>
      <c r="AB10" cm="1">
        <f t="array" ref="AB10">SUM(IF("X" = F10:AA10, 1, 0))</f>
        <v>19</v>
      </c>
      <c r="AC10" cm="1">
        <f t="array" ref="AC10">SUM(IF("?" = F10:AA10, 1, 0)) + AB10</f>
        <v>19</v>
      </c>
      <c r="AF10" t="b">
        <f t="shared" si="0"/>
        <v>1</v>
      </c>
      <c r="AG10" t="b">
        <f t="shared" si="0"/>
        <v>1</v>
      </c>
    </row>
    <row r="11" spans="1:33" x14ac:dyDescent="0.2">
      <c r="A11" t="s">
        <v>46</v>
      </c>
      <c r="B11">
        <v>15</v>
      </c>
      <c r="C11">
        <v>15</v>
      </c>
      <c r="F11" t="s">
        <v>53</v>
      </c>
      <c r="H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X11" t="s">
        <v>53</v>
      </c>
      <c r="AA11" t="s">
        <v>53</v>
      </c>
      <c r="AB11" cm="1">
        <f t="array" ref="AB11">SUM(IF("X" = F11:AA11, 1, 0))</f>
        <v>15</v>
      </c>
      <c r="AC11" cm="1">
        <f t="array" ref="AC11">SUM(IF("?" = F11:AA11, 1, 0)) + AB11</f>
        <v>15</v>
      </c>
      <c r="AF11" t="b">
        <f t="shared" si="0"/>
        <v>1</v>
      </c>
      <c r="AG11" t="b">
        <f t="shared" si="0"/>
        <v>1</v>
      </c>
    </row>
    <row r="12" spans="1:33" x14ac:dyDescent="0.2">
      <c r="A12" t="s">
        <v>48</v>
      </c>
      <c r="B12">
        <v>20</v>
      </c>
      <c r="C12">
        <v>20</v>
      </c>
      <c r="F12" t="s">
        <v>53</v>
      </c>
      <c r="G12" t="s">
        <v>53</v>
      </c>
      <c r="H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53</v>
      </c>
      <c r="AA12" t="s">
        <v>53</v>
      </c>
      <c r="AB12" cm="1">
        <f t="array" ref="AB12">SUM(IF("X" = F12:AA12, 1, 0))</f>
        <v>20</v>
      </c>
      <c r="AC12" cm="1">
        <f t="array" ref="AC12">SUM(IF("?" = F12:AA12, 1, 0)) + AB12</f>
        <v>20</v>
      </c>
      <c r="AF12" t="b">
        <f t="shared" si="0"/>
        <v>1</v>
      </c>
      <c r="AG12" t="b">
        <f t="shared" si="0"/>
        <v>1</v>
      </c>
    </row>
    <row r="13" spans="1:33" x14ac:dyDescent="0.2">
      <c r="A13" t="s">
        <v>51</v>
      </c>
      <c r="B13">
        <v>19</v>
      </c>
      <c r="C13">
        <v>19</v>
      </c>
      <c r="F13" t="s">
        <v>53</v>
      </c>
      <c r="G13" t="s">
        <v>53</v>
      </c>
      <c r="I13" t="s">
        <v>53</v>
      </c>
      <c r="J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Y13" t="s">
        <v>53</v>
      </c>
      <c r="Z13" t="s">
        <v>53</v>
      </c>
      <c r="AA13" t="s">
        <v>53</v>
      </c>
      <c r="AB13" cm="1">
        <f t="array" ref="AB13">SUM(IF("X" = F13:AA13, 1, 0))</f>
        <v>19</v>
      </c>
      <c r="AC13" cm="1">
        <f t="array" ref="AC13">SUM(IF("?" = F13:AA13, 1, 0)) + AB13</f>
        <v>19</v>
      </c>
      <c r="AF13" t="b">
        <f t="shared" si="0"/>
        <v>1</v>
      </c>
      <c r="AG13" t="b">
        <f t="shared" si="0"/>
        <v>1</v>
      </c>
    </row>
    <row r="14" spans="1:33" x14ac:dyDescent="0.2">
      <c r="A14" t="s">
        <v>52</v>
      </c>
      <c r="B14">
        <v>14</v>
      </c>
      <c r="C14">
        <v>14</v>
      </c>
      <c r="F14" t="s">
        <v>53</v>
      </c>
      <c r="G14" t="s">
        <v>53</v>
      </c>
      <c r="K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W14" t="s">
        <v>53</v>
      </c>
      <c r="Z14" t="s">
        <v>53</v>
      </c>
      <c r="AA14" t="s">
        <v>53</v>
      </c>
      <c r="AB14" cm="1">
        <f t="array" ref="AB14">SUM(IF("X" = F14:AA14, 1, 0))</f>
        <v>14</v>
      </c>
      <c r="AC14" cm="1">
        <f t="array" ref="AC14">SUM(IF("?" = F14:AA14, 1, 0)) + AB14</f>
        <v>14</v>
      </c>
      <c r="AF14" t="b">
        <f t="shared" si="0"/>
        <v>1</v>
      </c>
      <c r="AG14" t="b">
        <f t="shared" si="0"/>
        <v>1</v>
      </c>
    </row>
    <row r="15" spans="1:33" x14ac:dyDescent="0.2">
      <c r="A15" t="s">
        <v>61</v>
      </c>
      <c r="B15">
        <v>18</v>
      </c>
      <c r="C15">
        <v>18</v>
      </c>
      <c r="F15" t="s">
        <v>53</v>
      </c>
      <c r="G15" t="s">
        <v>53</v>
      </c>
      <c r="I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53</v>
      </c>
      <c r="AB15" cm="1">
        <f t="array" ref="AB15">SUM(IF("X" = F15:AA15, 1, 0))</f>
        <v>18</v>
      </c>
      <c r="AC15" cm="1">
        <f t="array" ref="AC15">SUM(IF("?" = F15:AA15, 1, 0)) + AB15</f>
        <v>18</v>
      </c>
      <c r="AF15" t="b">
        <f t="shared" si="0"/>
        <v>1</v>
      </c>
      <c r="AG15" t="b">
        <f t="shared" si="0"/>
        <v>1</v>
      </c>
    </row>
    <row r="16" spans="1:33" x14ac:dyDescent="0.2">
      <c r="A16" t="s">
        <v>62</v>
      </c>
      <c r="B16">
        <v>17</v>
      </c>
      <c r="C16">
        <v>17</v>
      </c>
      <c r="F16" t="s">
        <v>53</v>
      </c>
      <c r="G16" t="s">
        <v>53</v>
      </c>
      <c r="H16" t="s">
        <v>53</v>
      </c>
      <c r="I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53</v>
      </c>
      <c r="AB16" cm="1">
        <f t="array" ref="AB16">SUM(IF("X" = F16:AA16, 1, 0))</f>
        <v>17</v>
      </c>
      <c r="AC16" cm="1">
        <f t="array" ref="AC16">SUM(IF("?" = F16:AA16, 1, 0)) + AB16</f>
        <v>17</v>
      </c>
      <c r="AF16" t="b">
        <f t="shared" si="0"/>
        <v>1</v>
      </c>
      <c r="AG16" t="b">
        <f t="shared" si="0"/>
        <v>1</v>
      </c>
    </row>
    <row r="17" spans="1:33" x14ac:dyDescent="0.2">
      <c r="A17" t="s">
        <v>63</v>
      </c>
      <c r="B17">
        <v>13</v>
      </c>
      <c r="C17">
        <v>13</v>
      </c>
      <c r="J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T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53</v>
      </c>
      <c r="AA17" t="s">
        <v>53</v>
      </c>
      <c r="AB17" cm="1">
        <f t="array" ref="AB17">SUM(IF("X" = F17:AA17, 1, 0))</f>
        <v>13</v>
      </c>
      <c r="AC17" cm="1">
        <f t="array" ref="AC17">SUM(IF("?" = F17:AA17, 1, 0)) + AB17</f>
        <v>13</v>
      </c>
      <c r="AF17" t="b">
        <f t="shared" si="0"/>
        <v>1</v>
      </c>
      <c r="AG17" t="b">
        <f t="shared" si="0"/>
        <v>1</v>
      </c>
    </row>
    <row r="19" spans="1:33" x14ac:dyDescent="0.2">
      <c r="A19">
        <f>COUNTA(A2:A17)</f>
        <v>16</v>
      </c>
    </row>
    <row r="21" spans="1:33" x14ac:dyDescent="0.2">
      <c r="F21" s="1">
        <v>0.84848484848484851</v>
      </c>
      <c r="G21" s="1">
        <v>0.96969696969696972</v>
      </c>
      <c r="H21" s="1">
        <v>0.45454545454545453</v>
      </c>
      <c r="I21" s="1">
        <v>0.45454545454545453</v>
      </c>
      <c r="J21" s="1">
        <v>0.60606060606060608</v>
      </c>
      <c r="K21" s="1">
        <v>0.63636363636363635</v>
      </c>
      <c r="L21" s="1">
        <v>0.42424242424242425</v>
      </c>
      <c r="M21" s="1">
        <v>0.66666666666666663</v>
      </c>
      <c r="N21" s="1">
        <v>0.81818181818181823</v>
      </c>
      <c r="O21" s="1">
        <v>0.42424242424242425</v>
      </c>
      <c r="P21" s="1">
        <v>0.78787878787878785</v>
      </c>
      <c r="Q21" s="1">
        <v>0.81818181818181823</v>
      </c>
      <c r="R21" s="1">
        <v>0.96969696969696972</v>
      </c>
      <c r="S21" s="1">
        <v>9.0909090909090912E-2</v>
      </c>
      <c r="T21" s="1">
        <v>0.96969696969696972</v>
      </c>
      <c r="U21" s="1">
        <v>0.90909090909090906</v>
      </c>
      <c r="V21" s="1">
        <v>0.54545454545454541</v>
      </c>
      <c r="W21" s="1">
        <v>0.81818181818181823</v>
      </c>
      <c r="X21" s="1">
        <v>0.27272727272727271</v>
      </c>
      <c r="Y21" s="1">
        <v>0.60606060606060608</v>
      </c>
      <c r="Z21" s="1">
        <v>0.39393939393939392</v>
      </c>
      <c r="AA21" s="1">
        <v>0.45454545454545453</v>
      </c>
    </row>
    <row r="22" spans="1:33" x14ac:dyDescent="0.2">
      <c r="H22" t="s">
        <v>53</v>
      </c>
      <c r="I22" t="s">
        <v>53</v>
      </c>
      <c r="L22" t="s">
        <v>53</v>
      </c>
      <c r="O22" t="s">
        <v>53</v>
      </c>
      <c r="S22" t="s">
        <v>53</v>
      </c>
      <c r="X22" t="s">
        <v>53</v>
      </c>
      <c r="Z22" t="s">
        <v>53</v>
      </c>
      <c r="AA22" t="s">
        <v>53</v>
      </c>
    </row>
    <row r="23" spans="1:33" x14ac:dyDescent="0.2">
      <c r="E23" t="s">
        <v>60</v>
      </c>
      <c r="F23" cm="1">
        <f t="array" ref="F23">SUM(IF("X"=F2:F17,1, 0))</f>
        <v>15</v>
      </c>
      <c r="G23" cm="1">
        <f t="array" ref="G23">SUM(IF("X"=G2:G17,1, 0))</f>
        <v>13</v>
      </c>
      <c r="H23" cm="1">
        <f t="array" ref="H23">SUM(IF("X"=H2:H17,1, 0))</f>
        <v>8</v>
      </c>
      <c r="I23" cm="1">
        <f t="array" ref="I23">SUM(IF("X"=I2:I17,1, 0))</f>
        <v>9</v>
      </c>
      <c r="J23" cm="1">
        <f t="array" ref="J23">SUM(IF("X"=J2:J17,1, 0))</f>
        <v>12</v>
      </c>
      <c r="K23" cm="1">
        <f t="array" ref="K23">SUM(IF("X"=K2:K17,1, 0))</f>
        <v>12</v>
      </c>
      <c r="L23" cm="1">
        <f t="array" ref="L23">SUM(IF("X"=L2:L17,1, 0))</f>
        <v>10</v>
      </c>
      <c r="M23" cm="1">
        <f t="array" ref="M23">SUM(IF("X"=M2:M17,1, 0))</f>
        <v>11</v>
      </c>
      <c r="N23" cm="1">
        <f t="array" ref="N23">SUM(IF("X"=N2:N17,1, 0))</f>
        <v>14</v>
      </c>
      <c r="O23" cm="1">
        <f t="array" ref="O23">SUM(IF("X"=O2:O17,1, 0))</f>
        <v>16</v>
      </c>
      <c r="P23" cm="1">
        <f t="array" ref="P23">SUM(IF("X"=P2:P17,1, 0))</f>
        <v>16</v>
      </c>
      <c r="Q23" cm="1">
        <f t="array" ref="Q23">SUM(IF("X"=Q2:Q17,1, 0))</f>
        <v>15</v>
      </c>
      <c r="R23" cm="1">
        <f t="array" ref="R23">SUM(IF("X"=R2:R17,1, 0))</f>
        <v>15</v>
      </c>
      <c r="S23" cm="1">
        <f t="array" ref="S23">SUM(IF("X"=S2:S17,1, 0))</f>
        <v>11</v>
      </c>
      <c r="T23" cm="1">
        <f t="array" ref="T23">SUM(IF("X"=T2:T17,1, 0))</f>
        <v>9</v>
      </c>
      <c r="U23" cm="1">
        <f t="array" ref="U23">SUM(IF("X"=U2:U17,1, 0))</f>
        <v>9</v>
      </c>
      <c r="V23" cm="1">
        <f t="array" ref="V23">SUM(IF("X"=V2:V17,1, 0))</f>
        <v>12</v>
      </c>
      <c r="W23" cm="1">
        <f t="array" ref="W23">SUM(IF("X"=W2:W17,1, 0))</f>
        <v>14</v>
      </c>
      <c r="X23" cm="1">
        <f t="array" ref="X23">SUM(IF("X"=X2:X17,1, 0))</f>
        <v>10</v>
      </c>
      <c r="Y23" cm="1">
        <f t="array" ref="Y23">SUM(IF("X"=Y2:Y17,1, 0))</f>
        <v>14</v>
      </c>
      <c r="Z23" cm="1">
        <f t="array" ref="Z23">SUM(IF("X"=Z2:Z17,1, 0))</f>
        <v>14</v>
      </c>
      <c r="AA23" cm="1">
        <f t="array" ref="AA23">SUM(IF("X"=AA2:AA17,1, 0))</f>
        <v>14</v>
      </c>
    </row>
    <row r="24" spans="1:33" x14ac:dyDescent="0.2">
      <c r="F24" s="1">
        <f>F23/$A$19</f>
        <v>0.9375</v>
      </c>
      <c r="G24" s="1">
        <f t="shared" ref="G24:AA24" si="1">G23/$A$19</f>
        <v>0.8125</v>
      </c>
      <c r="H24" s="1">
        <f t="shared" si="1"/>
        <v>0.5</v>
      </c>
      <c r="I24" s="1">
        <f t="shared" si="1"/>
        <v>0.5625</v>
      </c>
      <c r="J24" s="1">
        <f t="shared" si="1"/>
        <v>0.75</v>
      </c>
      <c r="K24" s="1">
        <f t="shared" si="1"/>
        <v>0.75</v>
      </c>
      <c r="L24" s="1">
        <f t="shared" si="1"/>
        <v>0.625</v>
      </c>
      <c r="M24" s="1">
        <f t="shared" si="1"/>
        <v>0.6875</v>
      </c>
      <c r="N24" s="1">
        <f t="shared" si="1"/>
        <v>0.875</v>
      </c>
      <c r="O24" s="1">
        <f t="shared" si="1"/>
        <v>1</v>
      </c>
      <c r="P24" s="1">
        <f t="shared" si="1"/>
        <v>1</v>
      </c>
      <c r="Q24" s="1">
        <f t="shared" si="1"/>
        <v>0.9375</v>
      </c>
      <c r="R24" s="1">
        <f t="shared" si="1"/>
        <v>0.9375</v>
      </c>
      <c r="S24" s="1">
        <f t="shared" si="1"/>
        <v>0.6875</v>
      </c>
      <c r="T24" s="1">
        <f t="shared" si="1"/>
        <v>0.5625</v>
      </c>
      <c r="U24" s="1">
        <f t="shared" si="1"/>
        <v>0.5625</v>
      </c>
      <c r="V24" s="1">
        <f t="shared" si="1"/>
        <v>0.75</v>
      </c>
      <c r="W24" s="1">
        <f t="shared" si="1"/>
        <v>0.875</v>
      </c>
      <c r="X24" s="1">
        <f t="shared" si="1"/>
        <v>0.625</v>
      </c>
      <c r="Y24" s="1">
        <f t="shared" si="1"/>
        <v>0.875</v>
      </c>
      <c r="Z24" s="1">
        <f t="shared" si="1"/>
        <v>0.875</v>
      </c>
      <c r="AA24" s="1">
        <f t="shared" si="1"/>
        <v>0.875</v>
      </c>
    </row>
    <row r="25" spans="1:33" x14ac:dyDescent="0.2">
      <c r="F25" s="1">
        <v>0.90476190476190477</v>
      </c>
      <c r="G25" s="1">
        <v>0.7142857142857143</v>
      </c>
      <c r="H25" s="1">
        <v>0.52380952380952384</v>
      </c>
      <c r="I25" s="1">
        <v>0.52380952380952384</v>
      </c>
      <c r="J25" s="1">
        <v>0.66666666666666663</v>
      </c>
      <c r="K25" s="1">
        <v>0.7142857142857143</v>
      </c>
      <c r="L25" s="1">
        <v>0.61904761904761907</v>
      </c>
      <c r="M25" s="1">
        <v>0.66666666666666663</v>
      </c>
      <c r="N25" s="1">
        <v>0.7142857142857143</v>
      </c>
      <c r="O25" s="1">
        <v>0.8571428571428571</v>
      </c>
      <c r="P25" s="1">
        <v>1</v>
      </c>
      <c r="Q25" s="1">
        <v>0.80952380952380953</v>
      </c>
      <c r="R25" s="1">
        <v>0.95238095238095233</v>
      </c>
      <c r="S25" s="1">
        <v>0.61904761904761907</v>
      </c>
      <c r="T25" s="1">
        <v>0.52380952380952384</v>
      </c>
      <c r="U25" s="1">
        <v>0.5714285714285714</v>
      </c>
      <c r="V25" s="1">
        <v>0.66666666666666663</v>
      </c>
      <c r="W25" s="1">
        <v>0.76190476190476186</v>
      </c>
      <c r="X25" s="1">
        <v>0.5714285714285714</v>
      </c>
      <c r="Y25" s="1">
        <v>0.7142857142857143</v>
      </c>
      <c r="Z25" s="1">
        <v>0.76190476190476186</v>
      </c>
      <c r="AA25" s="1">
        <v>0.76190476190476186</v>
      </c>
    </row>
    <row r="26" spans="1:33" x14ac:dyDescent="0.2">
      <c r="A26" t="s">
        <v>58</v>
      </c>
      <c r="B26">
        <v>17</v>
      </c>
      <c r="C26">
        <v>21</v>
      </c>
      <c r="F26" t="s">
        <v>53</v>
      </c>
      <c r="G26" t="s">
        <v>53</v>
      </c>
      <c r="H26" t="s">
        <v>43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R26" t="s">
        <v>53</v>
      </c>
      <c r="S26" t="s">
        <v>43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53</v>
      </c>
      <c r="AA26" t="s">
        <v>53</v>
      </c>
      <c r="AB26" cm="1">
        <f t="array" ref="AB26">SUM(IF("X" = F26:AA26, 1, 0))</f>
        <v>19</v>
      </c>
      <c r="AC26" cm="1">
        <f t="array" ref="AC26">SUM(IF("?" = F26:AA26, 1, 0)) + AB26</f>
        <v>21</v>
      </c>
    </row>
    <row r="29" spans="1:33" x14ac:dyDescent="0.2">
      <c r="F29" s="1">
        <f>F24-F21</f>
        <v>8.9015151515151492E-2</v>
      </c>
      <c r="G29" s="2">
        <f t="shared" ref="G29:AA29" si="2">G24-G21</f>
        <v>-0.15719696969696972</v>
      </c>
      <c r="H29" s="1">
        <f t="shared" si="2"/>
        <v>4.545454545454547E-2</v>
      </c>
      <c r="I29" s="1">
        <f t="shared" si="2"/>
        <v>0.10795454545454547</v>
      </c>
      <c r="J29" s="1">
        <f t="shared" si="2"/>
        <v>0.14393939393939392</v>
      </c>
      <c r="K29" s="1">
        <f t="shared" si="2"/>
        <v>0.11363636363636365</v>
      </c>
      <c r="L29" s="1">
        <f t="shared" si="2"/>
        <v>0.20075757575757575</v>
      </c>
      <c r="M29" s="1">
        <f t="shared" si="2"/>
        <v>2.083333333333337E-2</v>
      </c>
      <c r="N29" s="1">
        <f t="shared" si="2"/>
        <v>5.6818181818181768E-2</v>
      </c>
      <c r="O29" s="1">
        <f t="shared" si="2"/>
        <v>0.57575757575757569</v>
      </c>
      <c r="P29" s="1">
        <f t="shared" si="2"/>
        <v>0.21212121212121215</v>
      </c>
      <c r="Q29" s="1">
        <f t="shared" si="2"/>
        <v>0.11931818181818177</v>
      </c>
      <c r="R29" s="2">
        <f t="shared" si="2"/>
        <v>-3.2196969696969724E-2</v>
      </c>
      <c r="S29" s="1">
        <f t="shared" si="2"/>
        <v>0.59659090909090906</v>
      </c>
      <c r="T29" s="2">
        <f t="shared" si="2"/>
        <v>-0.40719696969696972</v>
      </c>
      <c r="U29" s="2">
        <f t="shared" si="2"/>
        <v>-0.34659090909090906</v>
      </c>
      <c r="V29" s="1">
        <f t="shared" si="2"/>
        <v>0.20454545454545459</v>
      </c>
      <c r="W29" s="1">
        <f t="shared" si="2"/>
        <v>5.6818181818181768E-2</v>
      </c>
      <c r="X29" s="1">
        <f t="shared" si="2"/>
        <v>0.35227272727272729</v>
      </c>
      <c r="Y29" s="1">
        <f t="shared" si="2"/>
        <v>0.26893939393939392</v>
      </c>
      <c r="Z29" s="1">
        <f t="shared" si="2"/>
        <v>0.48106060606060608</v>
      </c>
      <c r="AA29" s="1">
        <f t="shared" si="2"/>
        <v>0.42045454545454547</v>
      </c>
    </row>
    <row r="32" spans="1:33" x14ac:dyDescent="0.2">
      <c r="F32" s="6">
        <f>F24/F21</f>
        <v>1.1049107142857142</v>
      </c>
      <c r="G32" s="6">
        <f t="shared" ref="G32:AA32" si="3">G24/G21</f>
        <v>0.837890625</v>
      </c>
      <c r="H32" s="6">
        <f t="shared" si="3"/>
        <v>1.1000000000000001</v>
      </c>
      <c r="I32" s="6">
        <f t="shared" si="3"/>
        <v>1.2375</v>
      </c>
      <c r="J32" s="6">
        <f t="shared" si="3"/>
        <v>1.2375</v>
      </c>
      <c r="K32" s="6">
        <f t="shared" si="3"/>
        <v>1.1785714285714286</v>
      </c>
      <c r="L32" s="6">
        <f t="shared" si="3"/>
        <v>1.4732142857142856</v>
      </c>
      <c r="M32" s="6">
        <f t="shared" si="3"/>
        <v>1.03125</v>
      </c>
      <c r="N32" s="6">
        <f t="shared" si="3"/>
        <v>1.0694444444444444</v>
      </c>
      <c r="O32" s="6">
        <f t="shared" si="3"/>
        <v>2.3571428571428572</v>
      </c>
      <c r="P32" s="6">
        <f t="shared" si="3"/>
        <v>1.2692307692307694</v>
      </c>
      <c r="Q32" s="6">
        <f t="shared" si="3"/>
        <v>1.1458333333333333</v>
      </c>
      <c r="R32" s="6">
        <f t="shared" si="3"/>
        <v>0.966796875</v>
      </c>
      <c r="S32" s="6">
        <f t="shared" si="3"/>
        <v>7.5625</v>
      </c>
      <c r="T32" s="6">
        <f t="shared" si="3"/>
        <v>0.580078125</v>
      </c>
      <c r="U32" s="6">
        <f t="shared" si="3"/>
        <v>0.61875000000000002</v>
      </c>
      <c r="V32" s="6">
        <f t="shared" si="3"/>
        <v>1.375</v>
      </c>
      <c r="W32" s="6">
        <f t="shared" si="3"/>
        <v>1.0694444444444444</v>
      </c>
      <c r="X32" s="6">
        <f t="shared" si="3"/>
        <v>2.291666666666667</v>
      </c>
      <c r="Y32" s="6">
        <f t="shared" si="3"/>
        <v>1.4437499999999999</v>
      </c>
      <c r="Z32" s="6">
        <f t="shared" si="3"/>
        <v>2.2211538461538463</v>
      </c>
      <c r="AA32" s="6">
        <f t="shared" si="3"/>
        <v>1.925</v>
      </c>
      <c r="AC32" s="6">
        <f>PRODUCT(F32:AA32)</f>
        <v>558.86338559981505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6B39-6CA1-9148-BD13-ED47CB753998}">
  <dimension ref="A1:B22"/>
  <sheetViews>
    <sheetView workbookViewId="0">
      <selection activeCell="B5" sqref="B5"/>
    </sheetView>
  </sheetViews>
  <sheetFormatPr baseColWidth="10" defaultRowHeight="19" x14ac:dyDescent="0.25"/>
  <cols>
    <col min="1" max="1" width="10.83203125" style="5"/>
    <col min="2" max="2" width="68.6640625" style="5" bestFit="1" customWidth="1"/>
    <col min="3" max="16384" width="10.83203125" style="5"/>
  </cols>
  <sheetData>
    <row r="1" spans="1:2" x14ac:dyDescent="0.25">
      <c r="A1" s="3">
        <v>1</v>
      </c>
      <c r="B1" s="5" t="s">
        <v>83</v>
      </c>
    </row>
    <row r="2" spans="1:2" x14ac:dyDescent="0.25">
      <c r="A2" s="3">
        <v>2</v>
      </c>
      <c r="B2" s="5" t="s">
        <v>64</v>
      </c>
    </row>
    <row r="3" spans="1:2" x14ac:dyDescent="0.25">
      <c r="A3" s="3">
        <v>3</v>
      </c>
      <c r="B3" s="5" t="s">
        <v>65</v>
      </c>
    </row>
    <row r="4" spans="1:2" x14ac:dyDescent="0.25">
      <c r="A4" s="3">
        <v>4</v>
      </c>
      <c r="B4" s="5" t="s">
        <v>66</v>
      </c>
    </row>
    <row r="5" spans="1:2" x14ac:dyDescent="0.25">
      <c r="A5" s="3">
        <v>5</v>
      </c>
      <c r="B5" s="5" t="s">
        <v>84</v>
      </c>
    </row>
    <row r="6" spans="1:2" x14ac:dyDescent="0.25">
      <c r="A6" s="3">
        <v>6</v>
      </c>
      <c r="B6" s="5" t="s">
        <v>67</v>
      </c>
    </row>
    <row r="7" spans="1:2" x14ac:dyDescent="0.25">
      <c r="A7" s="3">
        <v>7</v>
      </c>
      <c r="B7" s="5" t="s">
        <v>68</v>
      </c>
    </row>
    <row r="8" spans="1:2" x14ac:dyDescent="0.25">
      <c r="A8" s="3">
        <v>8</v>
      </c>
      <c r="B8" s="5" t="s">
        <v>69</v>
      </c>
    </row>
    <row r="9" spans="1:2" x14ac:dyDescent="0.25">
      <c r="A9" s="3">
        <v>9</v>
      </c>
      <c r="B9" s="5" t="s">
        <v>70</v>
      </c>
    </row>
    <row r="10" spans="1:2" x14ac:dyDescent="0.25">
      <c r="A10" s="3">
        <v>10</v>
      </c>
      <c r="B10" s="5" t="s">
        <v>71</v>
      </c>
    </row>
    <row r="11" spans="1:2" x14ac:dyDescent="0.25">
      <c r="A11" s="3">
        <v>11</v>
      </c>
      <c r="B11" s="5" t="s">
        <v>85</v>
      </c>
    </row>
    <row r="12" spans="1:2" x14ac:dyDescent="0.25">
      <c r="A12" s="3">
        <v>12</v>
      </c>
      <c r="B12" s="5" t="s">
        <v>72</v>
      </c>
    </row>
    <row r="13" spans="1:2" x14ac:dyDescent="0.25">
      <c r="A13" s="3">
        <v>13</v>
      </c>
      <c r="B13" s="5" t="s">
        <v>73</v>
      </c>
    </row>
    <row r="14" spans="1:2" x14ac:dyDescent="0.25">
      <c r="A14" s="3">
        <v>14</v>
      </c>
      <c r="B14" s="5" t="s">
        <v>74</v>
      </c>
    </row>
    <row r="15" spans="1:2" x14ac:dyDescent="0.25">
      <c r="A15" s="3">
        <v>15</v>
      </c>
      <c r="B15" s="5" t="s">
        <v>75</v>
      </c>
    </row>
    <row r="16" spans="1:2" x14ac:dyDescent="0.25">
      <c r="A16" s="3">
        <v>16</v>
      </c>
      <c r="B16" s="5" t="s">
        <v>76</v>
      </c>
    </row>
    <row r="17" spans="1:2" x14ac:dyDescent="0.25">
      <c r="A17" s="3">
        <v>17</v>
      </c>
      <c r="B17" s="5" t="s">
        <v>77</v>
      </c>
    </row>
    <row r="18" spans="1:2" x14ac:dyDescent="0.25">
      <c r="A18" s="3">
        <v>18</v>
      </c>
      <c r="B18" s="5" t="s">
        <v>78</v>
      </c>
    </row>
    <row r="19" spans="1:2" x14ac:dyDescent="0.25">
      <c r="A19" s="3">
        <v>19</v>
      </c>
      <c r="B19" s="5" t="s">
        <v>79</v>
      </c>
    </row>
    <row r="20" spans="1:2" x14ac:dyDescent="0.25">
      <c r="A20" s="3">
        <v>20</v>
      </c>
      <c r="B20" s="5" t="s">
        <v>80</v>
      </c>
    </row>
    <row r="21" spans="1:2" x14ac:dyDescent="0.25">
      <c r="A21" s="3">
        <v>21</v>
      </c>
      <c r="B21" s="5" t="s">
        <v>81</v>
      </c>
    </row>
    <row r="22" spans="1:2" x14ac:dyDescent="0.25">
      <c r="A22" s="3">
        <v>22</v>
      </c>
      <c r="B22" s="5" t="s">
        <v>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E852-C477-D84C-ADD0-0C7FAD64FFD0}">
  <dimension ref="A1:B17"/>
  <sheetViews>
    <sheetView workbookViewId="0">
      <selection activeCell="B17" sqref="B17"/>
    </sheetView>
  </sheetViews>
  <sheetFormatPr baseColWidth="10" defaultRowHeight="18" x14ac:dyDescent="0.2"/>
  <cols>
    <col min="1" max="1" width="10.83203125" style="11"/>
    <col min="2" max="2" width="111.5" style="11" bestFit="1" customWidth="1"/>
    <col min="3" max="16384" width="10.83203125" style="11"/>
  </cols>
  <sheetData>
    <row r="1" spans="1:2" x14ac:dyDescent="0.2">
      <c r="A1" s="11">
        <v>1</v>
      </c>
      <c r="B1" s="12" t="s">
        <v>87</v>
      </c>
    </row>
    <row r="2" spans="1:2" x14ac:dyDescent="0.2">
      <c r="A2" s="11">
        <v>2</v>
      </c>
      <c r="B2" s="13" t="s">
        <v>88</v>
      </c>
    </row>
    <row r="3" spans="1:2" x14ac:dyDescent="0.2">
      <c r="A3" s="11">
        <v>3</v>
      </c>
      <c r="B3" s="13" t="s">
        <v>89</v>
      </c>
    </row>
    <row r="4" spans="1:2" x14ac:dyDescent="0.2">
      <c r="A4" s="11">
        <v>4</v>
      </c>
      <c r="B4" s="13" t="s">
        <v>90</v>
      </c>
    </row>
    <row r="5" spans="1:2" x14ac:dyDescent="0.2">
      <c r="A5" s="11">
        <v>5</v>
      </c>
      <c r="B5" s="13" t="s">
        <v>91</v>
      </c>
    </row>
    <row r="6" spans="1:2" x14ac:dyDescent="0.2">
      <c r="A6" s="11">
        <v>6</v>
      </c>
      <c r="B6" s="13" t="s">
        <v>92</v>
      </c>
    </row>
    <row r="7" spans="1:2" x14ac:dyDescent="0.2">
      <c r="A7" s="11">
        <v>7</v>
      </c>
      <c r="B7" s="13" t="s">
        <v>93</v>
      </c>
    </row>
    <row r="8" spans="1:2" x14ac:dyDescent="0.2">
      <c r="A8" s="11">
        <v>8</v>
      </c>
      <c r="B8" s="13" t="s">
        <v>94</v>
      </c>
    </row>
    <row r="9" spans="1:2" x14ac:dyDescent="0.2">
      <c r="A9" s="11">
        <v>9</v>
      </c>
      <c r="B9" s="14" t="s">
        <v>95</v>
      </c>
    </row>
    <row r="10" spans="1:2" x14ac:dyDescent="0.2">
      <c r="A10" s="11">
        <v>10</v>
      </c>
      <c r="B10" s="13" t="s">
        <v>96</v>
      </c>
    </row>
    <row r="11" spans="1:2" x14ac:dyDescent="0.2">
      <c r="A11" s="11">
        <v>11</v>
      </c>
      <c r="B11" s="13" t="s">
        <v>97</v>
      </c>
    </row>
    <row r="12" spans="1:2" x14ac:dyDescent="0.2">
      <c r="A12" s="11">
        <v>12</v>
      </c>
      <c r="B12" s="13" t="s">
        <v>98</v>
      </c>
    </row>
    <row r="13" spans="1:2" x14ac:dyDescent="0.2">
      <c r="A13" s="11">
        <v>13</v>
      </c>
      <c r="B13" s="13" t="s">
        <v>99</v>
      </c>
    </row>
    <row r="14" spans="1:2" x14ac:dyDescent="0.2">
      <c r="A14" s="11">
        <v>14</v>
      </c>
      <c r="B14" s="13" t="s">
        <v>100</v>
      </c>
    </row>
    <row r="15" spans="1:2" x14ac:dyDescent="0.2">
      <c r="A15" s="11">
        <v>15</v>
      </c>
      <c r="B15" s="13" t="s">
        <v>101</v>
      </c>
    </row>
    <row r="16" spans="1:2" x14ac:dyDescent="0.2">
      <c r="A16" s="11">
        <v>16</v>
      </c>
      <c r="B16" s="13" t="s">
        <v>102</v>
      </c>
    </row>
    <row r="17" spans="1:2" x14ac:dyDescent="0.2">
      <c r="A17" s="11">
        <v>17</v>
      </c>
      <c r="B17" s="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BEBF-2D4C-3A42-B372-C666C3A4B537}">
  <dimension ref="A1:X43"/>
  <sheetViews>
    <sheetView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D19" sqref="D19:T19"/>
    </sheetView>
  </sheetViews>
  <sheetFormatPr baseColWidth="10" defaultRowHeight="16" x14ac:dyDescent="0.2"/>
  <cols>
    <col min="1" max="1" width="13.83203125" bestFit="1" customWidth="1"/>
    <col min="2" max="2" width="11.33203125" bestFit="1" customWidth="1"/>
    <col min="3" max="3" width="11.6640625" bestFit="1" customWidth="1"/>
    <col min="12" max="12" width="10.83203125" style="10"/>
  </cols>
  <sheetData>
    <row r="1" spans="1:24" s="3" customFormat="1" ht="19" x14ac:dyDescent="0.25">
      <c r="A1" s="3" t="s">
        <v>0</v>
      </c>
      <c r="B1" s="3" t="s">
        <v>1</v>
      </c>
      <c r="C1" s="3" t="s">
        <v>2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4">
        <v>14</v>
      </c>
      <c r="R1" s="4">
        <v>15</v>
      </c>
      <c r="S1" s="4">
        <v>16</v>
      </c>
      <c r="T1" s="4">
        <v>17</v>
      </c>
      <c r="U1" s="4"/>
      <c r="V1" s="3" t="s">
        <v>55</v>
      </c>
      <c r="W1" s="3" t="s">
        <v>56</v>
      </c>
    </row>
    <row r="2" spans="1:24" x14ac:dyDescent="0.2">
      <c r="A2" t="s">
        <v>34</v>
      </c>
      <c r="B2">
        <v>21</v>
      </c>
      <c r="C2">
        <v>21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s="10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V2" cm="1">
        <f t="array" ref="V2">SUM(IF("X" = D2:U2, 1, 0))</f>
        <v>17</v>
      </c>
      <c r="W2" cm="1">
        <f t="array" ref="W2">SUM(IF("?" = D2:U2, 1, 0)) + V2</f>
        <v>17</v>
      </c>
      <c r="X2" s="15">
        <f>W2/17</f>
        <v>1</v>
      </c>
    </row>
    <row r="3" spans="1:24" x14ac:dyDescent="0.2">
      <c r="A3" t="s">
        <v>35</v>
      </c>
      <c r="B3">
        <v>19</v>
      </c>
      <c r="C3">
        <v>20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s="10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S3" t="s">
        <v>53</v>
      </c>
      <c r="T3" t="s">
        <v>53</v>
      </c>
      <c r="V3" cm="1">
        <f t="array" ref="V3">SUM(IF("X" = D3:U3, 1, 0))</f>
        <v>16</v>
      </c>
      <c r="W3" cm="1">
        <f t="array" ref="W3">SUM(IF("?" = D3:U3, 1, 0)) + V3</f>
        <v>16</v>
      </c>
      <c r="X3" s="15">
        <f t="shared" ref="X3:X27" si="0">W3/17</f>
        <v>0.94117647058823528</v>
      </c>
    </row>
    <row r="4" spans="1:24" x14ac:dyDescent="0.2">
      <c r="A4" t="s">
        <v>36</v>
      </c>
      <c r="B4">
        <v>18</v>
      </c>
      <c r="C4">
        <v>18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s="10" t="s">
        <v>53</v>
      </c>
      <c r="M4" t="s">
        <v>53</v>
      </c>
      <c r="N4" t="s">
        <v>53</v>
      </c>
      <c r="P4" t="s">
        <v>53</v>
      </c>
      <c r="Q4" t="s">
        <v>53</v>
      </c>
      <c r="R4" t="s">
        <v>53</v>
      </c>
      <c r="T4" t="s">
        <v>53</v>
      </c>
      <c r="V4" cm="1">
        <f t="array" ref="V4">SUM(IF("X" = D4:U4, 1, 0))</f>
        <v>15</v>
      </c>
      <c r="W4" cm="1">
        <f t="array" ref="W4">SUM(IF("?" = D4:U4, 1, 0)) + V4</f>
        <v>15</v>
      </c>
      <c r="X4" s="15">
        <f t="shared" si="0"/>
        <v>0.88235294117647056</v>
      </c>
    </row>
    <row r="5" spans="1:24" x14ac:dyDescent="0.2">
      <c r="A5" t="s">
        <v>37</v>
      </c>
      <c r="B5">
        <v>17</v>
      </c>
      <c r="C5">
        <v>17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J5" t="s">
        <v>53</v>
      </c>
      <c r="L5" s="10" t="s">
        <v>53</v>
      </c>
      <c r="M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V5" cm="1">
        <f t="array" ref="V5">SUM(IF("X" = D5:U5, 1, 0))</f>
        <v>14</v>
      </c>
      <c r="W5" cm="1">
        <f t="array" ref="W5">SUM(IF("?" = D5:U5, 1, 0)) + V5</f>
        <v>14</v>
      </c>
      <c r="X5" s="15">
        <f t="shared" si="0"/>
        <v>0.82352941176470584</v>
      </c>
    </row>
    <row r="6" spans="1:24" x14ac:dyDescent="0.2">
      <c r="A6" t="s">
        <v>38</v>
      </c>
      <c r="B6">
        <v>17</v>
      </c>
      <c r="C6">
        <v>18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s="10" t="s">
        <v>53</v>
      </c>
      <c r="M6" t="s">
        <v>53</v>
      </c>
      <c r="O6" t="s">
        <v>53</v>
      </c>
      <c r="P6" t="s">
        <v>53</v>
      </c>
      <c r="Q6" t="s">
        <v>53</v>
      </c>
      <c r="R6" t="s">
        <v>53</v>
      </c>
      <c r="T6" t="s">
        <v>53</v>
      </c>
      <c r="V6" cm="1">
        <f t="array" ref="V6">SUM(IF("X" = D6:U6, 1, 0))</f>
        <v>15</v>
      </c>
      <c r="W6" cm="1">
        <f t="array" ref="W6">SUM(IF("?" = D6:U6, 1, 0)) + V6</f>
        <v>15</v>
      </c>
      <c r="X6" s="15">
        <f t="shared" si="0"/>
        <v>0.88235294117647056</v>
      </c>
    </row>
    <row r="7" spans="1:24" x14ac:dyDescent="0.2">
      <c r="A7" t="s">
        <v>39</v>
      </c>
      <c r="B7">
        <v>15</v>
      </c>
      <c r="C7">
        <v>15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s="10" t="s">
        <v>53</v>
      </c>
      <c r="M7" t="s">
        <v>53</v>
      </c>
      <c r="N7" t="s">
        <v>53</v>
      </c>
      <c r="P7" t="s">
        <v>53</v>
      </c>
      <c r="Q7" t="s">
        <v>53</v>
      </c>
      <c r="R7" t="s">
        <v>53</v>
      </c>
      <c r="T7" t="s">
        <v>53</v>
      </c>
      <c r="V7" cm="1">
        <f t="array" ref="V7">SUM(IF("X" = D7:U7, 1, 0))</f>
        <v>15</v>
      </c>
      <c r="W7" cm="1">
        <f t="array" ref="W7">SUM(IF("?" = D7:U7, 1, 0)) + V7</f>
        <v>15</v>
      </c>
      <c r="X7" s="15">
        <f t="shared" si="0"/>
        <v>0.88235294117647056</v>
      </c>
    </row>
    <row r="8" spans="1:24" x14ac:dyDescent="0.2">
      <c r="A8" t="s">
        <v>40</v>
      </c>
      <c r="B8">
        <v>14</v>
      </c>
      <c r="C8">
        <v>16</v>
      </c>
      <c r="D8" t="s">
        <v>53</v>
      </c>
      <c r="E8" t="s">
        <v>53</v>
      </c>
      <c r="F8" t="s">
        <v>53</v>
      </c>
      <c r="J8" t="s">
        <v>53</v>
      </c>
      <c r="K8" t="s">
        <v>53</v>
      </c>
      <c r="L8" s="10" t="s">
        <v>53</v>
      </c>
      <c r="M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V8" cm="1">
        <f t="array" ref="V8">SUM(IF("X" = D8:U8, 1, 0))</f>
        <v>13</v>
      </c>
      <c r="W8" cm="1">
        <f t="array" ref="W8">SUM(IF("?" = D8:U8, 1, 0)) + V8</f>
        <v>13</v>
      </c>
      <c r="X8" s="15">
        <f t="shared" si="0"/>
        <v>0.76470588235294112</v>
      </c>
    </row>
    <row r="9" spans="1:24" x14ac:dyDescent="0.2">
      <c r="A9" t="s">
        <v>41</v>
      </c>
      <c r="B9">
        <v>13</v>
      </c>
      <c r="C9">
        <v>13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J9" t="s">
        <v>53</v>
      </c>
      <c r="K9" t="s">
        <v>53</v>
      </c>
      <c r="L9" s="10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T9" t="s">
        <v>53</v>
      </c>
      <c r="V9" cm="1">
        <f t="array" ref="V9">SUM(IF("X" = D9:U9, 1, 0))</f>
        <v>15</v>
      </c>
      <c r="W9" cm="1">
        <f t="array" ref="W9">SUM(IF("?" = D9:U9, 1, 0)) + V9</f>
        <v>15</v>
      </c>
      <c r="X9" s="15">
        <f t="shared" si="0"/>
        <v>0.88235294117647056</v>
      </c>
    </row>
    <row r="10" spans="1:24" x14ac:dyDescent="0.2">
      <c r="A10" t="s">
        <v>107</v>
      </c>
      <c r="B10">
        <v>12</v>
      </c>
      <c r="C10">
        <v>12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L10" s="10" t="s">
        <v>53</v>
      </c>
      <c r="M10" t="s">
        <v>53</v>
      </c>
      <c r="O10" t="s">
        <v>53</v>
      </c>
      <c r="P10" t="s">
        <v>53</v>
      </c>
      <c r="R10" t="s">
        <v>53</v>
      </c>
      <c r="S10" t="s">
        <v>53</v>
      </c>
      <c r="T10" t="s">
        <v>53</v>
      </c>
      <c r="V10" cm="1">
        <f t="array" ref="V10">SUM(IF("X" = D10:U10, 1, 0))</f>
        <v>14</v>
      </c>
      <c r="W10" cm="1">
        <f t="array" ref="W10">SUM(IF("?" = D10:U10, 1, 0)) + V10</f>
        <v>14</v>
      </c>
      <c r="X10" s="15">
        <f t="shared" si="0"/>
        <v>0.82352941176470584</v>
      </c>
    </row>
    <row r="11" spans="1:24" x14ac:dyDescent="0.2">
      <c r="A11" t="s">
        <v>44</v>
      </c>
      <c r="B11">
        <v>19</v>
      </c>
      <c r="C11">
        <v>19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s="10" t="s">
        <v>53</v>
      </c>
      <c r="M11" t="s">
        <v>53</v>
      </c>
      <c r="N11" t="s">
        <v>53</v>
      </c>
      <c r="O11" t="s">
        <v>53</v>
      </c>
      <c r="Q11" t="s">
        <v>53</v>
      </c>
      <c r="R11" t="s">
        <v>53</v>
      </c>
      <c r="S11" t="s">
        <v>53</v>
      </c>
      <c r="T11" t="s">
        <v>53</v>
      </c>
      <c r="V11" cm="1">
        <f t="array" ref="V11">SUM(IF("X" = D11:U11, 1, 0))</f>
        <v>16</v>
      </c>
      <c r="W11" cm="1">
        <f t="array" ref="W11">SUM(IF("?" = D11:U11, 1, 0)) + V11</f>
        <v>16</v>
      </c>
      <c r="X11" s="15">
        <f t="shared" si="0"/>
        <v>0.94117647058823528</v>
      </c>
    </row>
    <row r="12" spans="1:24" x14ac:dyDescent="0.2">
      <c r="A12" t="s">
        <v>46</v>
      </c>
      <c r="B12">
        <v>15</v>
      </c>
      <c r="C12">
        <v>15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s="10" t="s">
        <v>53</v>
      </c>
      <c r="M12" t="s">
        <v>53</v>
      </c>
      <c r="N12" t="s">
        <v>53</v>
      </c>
      <c r="O12" t="s">
        <v>53</v>
      </c>
      <c r="P12" t="s">
        <v>53</v>
      </c>
      <c r="R12" t="s">
        <v>53</v>
      </c>
      <c r="S12" t="s">
        <v>53</v>
      </c>
      <c r="T12" t="s">
        <v>53</v>
      </c>
      <c r="V12" cm="1">
        <f t="array" ref="V12">SUM(IF("X" = D12:U12, 1, 0))</f>
        <v>16</v>
      </c>
      <c r="W12" cm="1">
        <f t="array" ref="W12">SUM(IF("?" = D12:U12, 1, 0)) + V12</f>
        <v>16</v>
      </c>
      <c r="X12" s="15">
        <f t="shared" si="0"/>
        <v>0.94117647058823528</v>
      </c>
    </row>
    <row r="13" spans="1:24" x14ac:dyDescent="0.2">
      <c r="A13" t="s">
        <v>48</v>
      </c>
      <c r="B13">
        <v>20</v>
      </c>
      <c r="C13">
        <v>20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s="10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V13" cm="1">
        <f t="array" ref="V13">SUM(IF("X" = D13:U13, 1, 0))</f>
        <v>17</v>
      </c>
      <c r="W13" cm="1">
        <f t="array" ref="W13">SUM(IF("?" = D13:U13, 1, 0)) + V13</f>
        <v>17</v>
      </c>
      <c r="X13" s="15">
        <f t="shared" si="0"/>
        <v>1</v>
      </c>
    </row>
    <row r="14" spans="1:24" x14ac:dyDescent="0.2">
      <c r="A14" t="s">
        <v>51</v>
      </c>
      <c r="B14">
        <v>19</v>
      </c>
      <c r="C14">
        <v>19</v>
      </c>
      <c r="D14" t="s">
        <v>53</v>
      </c>
      <c r="E14" t="s">
        <v>53</v>
      </c>
      <c r="F14" t="s">
        <v>53</v>
      </c>
      <c r="I14" t="s">
        <v>53</v>
      </c>
      <c r="J14" t="s">
        <v>53</v>
      </c>
      <c r="K14" t="s">
        <v>53</v>
      </c>
      <c r="L14" s="10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T14" t="s">
        <v>53</v>
      </c>
      <c r="V14" cm="1">
        <f t="array" ref="V14">SUM(IF("X" = D14:U14, 1, 0))</f>
        <v>14</v>
      </c>
      <c r="W14" cm="1">
        <f t="array" ref="W14">SUM(IF("?" = D14:U14, 1, 0)) + V14</f>
        <v>14</v>
      </c>
      <c r="X14" s="15">
        <f t="shared" si="0"/>
        <v>0.82352941176470584</v>
      </c>
    </row>
    <row r="15" spans="1:24" x14ac:dyDescent="0.2">
      <c r="A15" t="s">
        <v>52</v>
      </c>
      <c r="B15">
        <v>14</v>
      </c>
      <c r="C15">
        <v>14</v>
      </c>
      <c r="D15" t="s">
        <v>53</v>
      </c>
      <c r="J15" t="s">
        <v>53</v>
      </c>
      <c r="K15" t="s">
        <v>53</v>
      </c>
      <c r="L15" s="10" t="s">
        <v>53</v>
      </c>
      <c r="M15" t="s">
        <v>53</v>
      </c>
      <c r="N15" t="s">
        <v>53</v>
      </c>
      <c r="O15" t="s">
        <v>53</v>
      </c>
      <c r="P15" t="s">
        <v>53</v>
      </c>
      <c r="R15" t="s">
        <v>53</v>
      </c>
      <c r="T15" t="s">
        <v>53</v>
      </c>
      <c r="V15" cm="1">
        <f t="array" ref="V15">SUM(IF("X" = D15:U15, 1, 0))</f>
        <v>10</v>
      </c>
      <c r="W15" cm="1">
        <f t="array" ref="W15">SUM(IF("?" = D15:U15, 1, 0)) + V15</f>
        <v>10</v>
      </c>
      <c r="X15" s="15">
        <f t="shared" si="0"/>
        <v>0.58823529411764708</v>
      </c>
    </row>
    <row r="16" spans="1:24" x14ac:dyDescent="0.2">
      <c r="A16" t="s">
        <v>61</v>
      </c>
      <c r="B16">
        <v>18</v>
      </c>
      <c r="C16">
        <v>18</v>
      </c>
      <c r="D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s="10" t="s">
        <v>53</v>
      </c>
      <c r="M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V16" cm="1">
        <f t="array" ref="V16">SUM(IF("X" = D16:U16, 1, 0))</f>
        <v>14</v>
      </c>
      <c r="W16" cm="1">
        <f t="array" ref="W16">SUM(IF("?" = D16:U16, 1, 0)) + V16</f>
        <v>14</v>
      </c>
      <c r="X16" s="15">
        <f t="shared" si="0"/>
        <v>0.82352941176470584</v>
      </c>
    </row>
    <row r="17" spans="1:24" x14ac:dyDescent="0.2">
      <c r="A17" t="s">
        <v>108</v>
      </c>
      <c r="B17">
        <v>17</v>
      </c>
      <c r="C17">
        <v>17</v>
      </c>
      <c r="D17" t="s">
        <v>53</v>
      </c>
      <c r="F17" t="s">
        <v>53</v>
      </c>
      <c r="I17" t="s">
        <v>53</v>
      </c>
      <c r="J17" t="s">
        <v>53</v>
      </c>
      <c r="K17" t="s">
        <v>53</v>
      </c>
      <c r="L17" s="10" t="s">
        <v>53</v>
      </c>
      <c r="M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V17" cm="1">
        <f t="array" ref="V17">SUM(IF("X" = D17:U17, 1, 0))</f>
        <v>12</v>
      </c>
      <c r="W17" cm="1">
        <f t="array" ref="W17">SUM(IF("?" = D17:U17, 1, 0)) + V17</f>
        <v>12</v>
      </c>
      <c r="X17" s="15">
        <f t="shared" si="0"/>
        <v>0.70588235294117652</v>
      </c>
    </row>
    <row r="18" spans="1:24" x14ac:dyDescent="0.2">
      <c r="A18" t="s">
        <v>45</v>
      </c>
      <c r="B18">
        <v>11</v>
      </c>
      <c r="C18">
        <v>11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s="10" t="s">
        <v>53</v>
      </c>
      <c r="M18" t="s">
        <v>53</v>
      </c>
      <c r="O18" t="s">
        <v>53</v>
      </c>
      <c r="V18" cm="1">
        <f t="array" ref="V18">SUM(IF("X" = D18:U18, 1, 0))</f>
        <v>11</v>
      </c>
      <c r="W18" cm="1">
        <f t="array" ref="W18">SUM(IF("?" = D18:U18, 1, 0)) + V18</f>
        <v>11</v>
      </c>
      <c r="X18" s="15">
        <f t="shared" si="0"/>
        <v>0.6470588235294118</v>
      </c>
    </row>
    <row r="19" spans="1:24" x14ac:dyDescent="0.2">
      <c r="A19" t="s">
        <v>106</v>
      </c>
      <c r="B19">
        <v>11</v>
      </c>
      <c r="C19">
        <v>11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s="10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T19" t="s">
        <v>53</v>
      </c>
      <c r="V19" cm="1">
        <f t="array" ref="V19">SUM(IF("X" = D19:U19, 1, 0))</f>
        <v>15</v>
      </c>
      <c r="W19" cm="1">
        <f t="array" ref="W19">SUM(IF("?" = D19:U19, 1, 0)) + V19</f>
        <v>15</v>
      </c>
      <c r="X19" s="15">
        <f>W19/17</f>
        <v>0.88235294117647056</v>
      </c>
    </row>
    <row r="20" spans="1:24" x14ac:dyDescent="0.2">
      <c r="X20" s="15"/>
    </row>
    <row r="21" spans="1:24" x14ac:dyDescent="0.2">
      <c r="A21" t="s">
        <v>103</v>
      </c>
      <c r="D21" t="s">
        <v>53</v>
      </c>
      <c r="E21" t="s">
        <v>53</v>
      </c>
      <c r="F21" t="s">
        <v>53</v>
      </c>
      <c r="I21" t="s">
        <v>53</v>
      </c>
      <c r="J21" t="s">
        <v>53</v>
      </c>
      <c r="K21" t="s">
        <v>53</v>
      </c>
      <c r="L21" s="10" t="s">
        <v>53</v>
      </c>
      <c r="M21" t="s">
        <v>53</v>
      </c>
      <c r="O21" t="s">
        <v>53</v>
      </c>
      <c r="P21" t="s">
        <v>53</v>
      </c>
      <c r="R21" t="s">
        <v>53</v>
      </c>
      <c r="T21" t="s">
        <v>53</v>
      </c>
      <c r="V21" cm="1">
        <f t="array" ref="V21">SUM(IF("X" = D21:U21, 1, 0))</f>
        <v>12</v>
      </c>
      <c r="W21" cm="1">
        <f t="array" ref="W21">SUM(IF("?" = D21:U21, 1, 0)) + V21</f>
        <v>12</v>
      </c>
      <c r="X21" s="15">
        <f t="shared" si="0"/>
        <v>0.70588235294117652</v>
      </c>
    </row>
    <row r="22" spans="1:24" x14ac:dyDescent="0.2">
      <c r="A22" t="s">
        <v>104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s="10" t="s">
        <v>53</v>
      </c>
      <c r="M22" t="s">
        <v>53</v>
      </c>
      <c r="N22" t="s">
        <v>53</v>
      </c>
      <c r="O22" t="s">
        <v>53</v>
      </c>
      <c r="Q22" t="s">
        <v>53</v>
      </c>
      <c r="R22" t="s">
        <v>53</v>
      </c>
      <c r="S22" t="s">
        <v>53</v>
      </c>
      <c r="T22" t="s">
        <v>53</v>
      </c>
      <c r="V22" cm="1">
        <f t="array" ref="V22">SUM(IF("X" = D22:U22, 1, 0))</f>
        <v>16</v>
      </c>
      <c r="W22" cm="1">
        <f t="array" ref="W22">SUM(IF("?" = D22:U22, 1, 0)) + V22</f>
        <v>16</v>
      </c>
      <c r="X22" s="15">
        <f t="shared" si="0"/>
        <v>0.94117647058823528</v>
      </c>
    </row>
    <row r="23" spans="1:24" x14ac:dyDescent="0.2">
      <c r="A23" t="s">
        <v>109</v>
      </c>
      <c r="E23" t="s">
        <v>53</v>
      </c>
      <c r="F23" t="s">
        <v>53</v>
      </c>
      <c r="J23" t="s">
        <v>53</v>
      </c>
      <c r="K23" t="s">
        <v>53</v>
      </c>
      <c r="L23" s="10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V23" cm="1">
        <f t="array" ref="V23">SUM(IF("X" = D23:U23, 1, 0))</f>
        <v>12</v>
      </c>
      <c r="W23" cm="1">
        <f t="array" ref="W23">SUM(IF("?" = D23:U23, 1, 0)) + V23</f>
        <v>12</v>
      </c>
      <c r="X23" s="15">
        <f t="shared" si="0"/>
        <v>0.70588235294117652</v>
      </c>
    </row>
    <row r="24" spans="1:24" x14ac:dyDescent="0.2">
      <c r="A24" t="s">
        <v>110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J24" t="s">
        <v>53</v>
      </c>
      <c r="L24" s="10" t="s">
        <v>53</v>
      </c>
      <c r="M24" t="s">
        <v>53</v>
      </c>
      <c r="N24" t="s">
        <v>53</v>
      </c>
      <c r="O24" t="s">
        <v>53</v>
      </c>
      <c r="P24" t="s">
        <v>53</v>
      </c>
      <c r="R24" t="s">
        <v>53</v>
      </c>
      <c r="T24" t="s">
        <v>53</v>
      </c>
      <c r="V24" cm="1">
        <f t="array" ref="V24">SUM(IF("X" = D24:U24, 1, 0))</f>
        <v>13</v>
      </c>
      <c r="W24" cm="1">
        <f t="array" ref="W24">SUM(IF("?" = D24:U24, 1, 0)) + V24</f>
        <v>13</v>
      </c>
      <c r="X24" s="15">
        <f t="shared" si="0"/>
        <v>0.76470588235294112</v>
      </c>
    </row>
    <row r="25" spans="1:24" x14ac:dyDescent="0.2">
      <c r="A25" t="s">
        <v>116</v>
      </c>
      <c r="D25" t="s">
        <v>53</v>
      </c>
      <c r="E25" t="s">
        <v>53</v>
      </c>
      <c r="F25" t="s">
        <v>53</v>
      </c>
      <c r="I25" t="s">
        <v>53</v>
      </c>
      <c r="J25" t="s">
        <v>53</v>
      </c>
      <c r="K25" t="s">
        <v>53</v>
      </c>
      <c r="L25" s="10" t="s">
        <v>53</v>
      </c>
      <c r="M25" t="s">
        <v>53</v>
      </c>
      <c r="N25" t="s">
        <v>53</v>
      </c>
      <c r="O25" t="s">
        <v>53</v>
      </c>
      <c r="P25" t="s">
        <v>53</v>
      </c>
      <c r="R25" t="s">
        <v>53</v>
      </c>
      <c r="T25" t="s">
        <v>53</v>
      </c>
      <c r="V25" cm="1">
        <f t="array" ref="V25">SUM(IF("X" = D25:U25, 1, 0))</f>
        <v>13</v>
      </c>
      <c r="W25" cm="1">
        <f t="array" ref="W25">SUM(IF("?" = D25:U25, 1, 0)) + V25</f>
        <v>13</v>
      </c>
      <c r="X25" s="15">
        <f t="shared" ref="X25" si="1">W25/17</f>
        <v>0.76470588235294112</v>
      </c>
    </row>
    <row r="26" spans="1:24" x14ac:dyDescent="0.2">
      <c r="X26" s="15"/>
    </row>
    <row r="27" spans="1:24" x14ac:dyDescent="0.2">
      <c r="A27" t="s">
        <v>58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s="10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V27" cm="1">
        <f t="array" ref="V27">SUM(IF("X" = D27:U27, 1, 0))</f>
        <v>17</v>
      </c>
      <c r="W27" cm="1">
        <f t="array" ref="W27">SUM(IF("?" = D27:U27, 1, 0)) + V27</f>
        <v>17</v>
      </c>
      <c r="X27" s="15">
        <f t="shared" si="0"/>
        <v>1</v>
      </c>
    </row>
    <row r="30" spans="1:24" x14ac:dyDescent="0.2">
      <c r="A30">
        <f>COUNTA(A2:A27)</f>
        <v>24</v>
      </c>
      <c r="D30">
        <f t="shared" ref="D30:T30" si="2">COUNTIFS(D2:D27, "X")</f>
        <v>23</v>
      </c>
      <c r="E30">
        <f t="shared" si="2"/>
        <v>21</v>
      </c>
      <c r="F30">
        <f t="shared" si="2"/>
        <v>23</v>
      </c>
      <c r="G30">
        <f t="shared" si="2"/>
        <v>17</v>
      </c>
      <c r="H30">
        <f t="shared" si="2"/>
        <v>17</v>
      </c>
      <c r="I30">
        <f t="shared" si="2"/>
        <v>18</v>
      </c>
      <c r="J30">
        <f t="shared" si="2"/>
        <v>24</v>
      </c>
      <c r="K30">
        <f t="shared" si="2"/>
        <v>21</v>
      </c>
      <c r="L30">
        <f t="shared" si="2"/>
        <v>24</v>
      </c>
      <c r="M30">
        <f t="shared" si="2"/>
        <v>24</v>
      </c>
      <c r="N30">
        <f t="shared" si="2"/>
        <v>16</v>
      </c>
      <c r="O30">
        <f t="shared" si="2"/>
        <v>22</v>
      </c>
      <c r="P30">
        <f t="shared" si="2"/>
        <v>21</v>
      </c>
      <c r="Q30">
        <f t="shared" si="2"/>
        <v>17</v>
      </c>
      <c r="R30">
        <f t="shared" si="2"/>
        <v>21</v>
      </c>
      <c r="S30">
        <f t="shared" si="2"/>
        <v>13</v>
      </c>
      <c r="T30">
        <f t="shared" si="2"/>
        <v>20</v>
      </c>
    </row>
    <row r="31" spans="1:24" x14ac:dyDescent="0.2">
      <c r="D31" s="15">
        <f>D30/$A$30</f>
        <v>0.95833333333333337</v>
      </c>
      <c r="E31" s="15">
        <f t="shared" ref="E31:T31" si="3">E30/$A$30</f>
        <v>0.875</v>
      </c>
      <c r="F31" s="15">
        <f t="shared" si="3"/>
        <v>0.95833333333333337</v>
      </c>
      <c r="G31" s="15">
        <f t="shared" si="3"/>
        <v>0.70833333333333337</v>
      </c>
      <c r="H31" s="15">
        <f t="shared" si="3"/>
        <v>0.70833333333333337</v>
      </c>
      <c r="I31" s="15">
        <f t="shared" si="3"/>
        <v>0.75</v>
      </c>
      <c r="J31" s="15">
        <f t="shared" si="3"/>
        <v>1</v>
      </c>
      <c r="K31" s="15">
        <f t="shared" si="3"/>
        <v>0.875</v>
      </c>
      <c r="L31" s="15">
        <f t="shared" si="3"/>
        <v>1</v>
      </c>
      <c r="M31" s="15">
        <f t="shared" si="3"/>
        <v>1</v>
      </c>
      <c r="N31" s="15">
        <f t="shared" si="3"/>
        <v>0.66666666666666663</v>
      </c>
      <c r="O31" s="15">
        <f t="shared" si="3"/>
        <v>0.91666666666666663</v>
      </c>
      <c r="P31" s="15">
        <f t="shared" si="3"/>
        <v>0.875</v>
      </c>
      <c r="Q31" s="15">
        <f t="shared" si="3"/>
        <v>0.70833333333333337</v>
      </c>
      <c r="R31" s="15">
        <f t="shared" si="3"/>
        <v>0.875</v>
      </c>
      <c r="S31" s="15">
        <f t="shared" si="3"/>
        <v>0.54166666666666663</v>
      </c>
      <c r="T31" s="15">
        <f t="shared" si="3"/>
        <v>0.83333333333333337</v>
      </c>
      <c r="V31" s="6">
        <f t="shared" ref="V31:W31" si="4">AVERAGE(V2:V29)</f>
        <v>14.25</v>
      </c>
      <c r="W31" s="6">
        <f t="shared" si="4"/>
        <v>14.25</v>
      </c>
      <c r="X31" s="19">
        <f>AVERAGE(X2:X29)</f>
        <v>0.83823529411764708</v>
      </c>
    </row>
    <row r="38" spans="1:24" s="16" customFormat="1" x14ac:dyDescent="0.2">
      <c r="A38" s="16" t="s">
        <v>47</v>
      </c>
      <c r="B38" s="16">
        <v>12</v>
      </c>
      <c r="C38" s="16">
        <v>12</v>
      </c>
      <c r="D38" s="16" t="s">
        <v>53</v>
      </c>
      <c r="J38" s="16" t="s">
        <v>53</v>
      </c>
      <c r="K38" s="16" t="s">
        <v>53</v>
      </c>
      <c r="L38" s="17" t="s">
        <v>53</v>
      </c>
      <c r="M38" s="16" t="s">
        <v>53</v>
      </c>
      <c r="N38" s="16" t="s">
        <v>53</v>
      </c>
      <c r="O38" s="16" t="s">
        <v>53</v>
      </c>
      <c r="T38" s="16" t="s">
        <v>53</v>
      </c>
      <c r="V38" s="16" cm="1">
        <f t="array" ref="V38">SUM(IF("X" = D38:U38, 1, 0))</f>
        <v>8</v>
      </c>
      <c r="W38" s="16" cm="1">
        <f t="array" ref="W38">SUM(IF("?" = D38:U38, 1, 0)) + V38</f>
        <v>8</v>
      </c>
      <c r="X38" s="18">
        <f>W38/17</f>
        <v>0.47058823529411764</v>
      </c>
    </row>
    <row r="40" spans="1:24" x14ac:dyDescent="0.2">
      <c r="A40" t="s">
        <v>63</v>
      </c>
      <c r="B40">
        <v>13</v>
      </c>
      <c r="C40">
        <v>13</v>
      </c>
      <c r="J40" t="s">
        <v>53</v>
      </c>
      <c r="K40" t="s">
        <v>53</v>
      </c>
      <c r="M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V40" cm="1">
        <f t="array" ref="V40">SUM(IF("X" = D40:U40, 1, 0))</f>
        <v>8</v>
      </c>
      <c r="W40" cm="1">
        <f t="array" ref="W40">SUM(IF("?" = D40:U40, 1, 0)) + V40</f>
        <v>8</v>
      </c>
      <c r="X40" s="15">
        <f>W40/17</f>
        <v>0.47058823529411764</v>
      </c>
    </row>
    <row r="42" spans="1:24" x14ac:dyDescent="0.2">
      <c r="A42" t="s">
        <v>111</v>
      </c>
      <c r="D42" t="s">
        <v>105</v>
      </c>
      <c r="E42" t="s">
        <v>105</v>
      </c>
      <c r="F42" t="s">
        <v>105</v>
      </c>
      <c r="L42" s="10" t="s">
        <v>105</v>
      </c>
      <c r="M42" t="s">
        <v>105</v>
      </c>
      <c r="N42" t="s">
        <v>105</v>
      </c>
      <c r="O42" t="s">
        <v>105</v>
      </c>
      <c r="Q42" t="s">
        <v>105</v>
      </c>
      <c r="S42" t="s">
        <v>105</v>
      </c>
      <c r="V42" cm="1">
        <f t="array" ref="V42">SUM(IF("X" = D42:U42, 1, 0))</f>
        <v>9</v>
      </c>
      <c r="W42" cm="1">
        <f t="array" ref="W42">SUM(IF("?" = D42:U42, 1, 0)) + V42</f>
        <v>9</v>
      </c>
      <c r="X42" s="15">
        <f>W42/17</f>
        <v>0.52941176470588236</v>
      </c>
    </row>
    <row r="43" spans="1:24" x14ac:dyDescent="0.2">
      <c r="A43" t="s">
        <v>113</v>
      </c>
      <c r="D43" t="s">
        <v>105</v>
      </c>
      <c r="E43" t="s">
        <v>105</v>
      </c>
      <c r="K43" t="s">
        <v>105</v>
      </c>
      <c r="M43" t="s">
        <v>105</v>
      </c>
      <c r="N43" t="s">
        <v>105</v>
      </c>
      <c r="O43" t="s">
        <v>105</v>
      </c>
      <c r="P43" t="s">
        <v>105</v>
      </c>
      <c r="S43" t="s">
        <v>105</v>
      </c>
      <c r="V43" cm="1">
        <f t="array" ref="V43">SUM(IF("X" = D43:U43, 1, 0))</f>
        <v>8</v>
      </c>
      <c r="W43" cm="1">
        <f t="array" ref="W43">SUM(IF("?" = D43:U43, 1, 0)) + V43</f>
        <v>8</v>
      </c>
      <c r="X43" s="15">
        <f>W43/17</f>
        <v>0.47058823529411764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cleaned_counts</vt:lpstr>
      <vt:lpstr>cleaned_revised_counts</vt:lpstr>
      <vt:lpstr>cleaned_revised_counts v2</vt:lpstr>
      <vt:lpstr>cleaned_revised_counts v3</vt:lpstr>
      <vt:lpstr>Kappa</vt:lpstr>
      <vt:lpstr>almost_raglan</vt:lpstr>
      <vt:lpstr>Initial Results (3)</vt:lpstr>
      <vt:lpstr>Initial Results</vt:lpstr>
      <vt:lpstr>Sheet2</vt:lpstr>
      <vt:lpstr>Initial Results (2)</vt:lpstr>
      <vt:lpstr>Sheet3</vt:lpstr>
      <vt:lpstr>original meaning</vt:lpstr>
      <vt:lpstr>New Criteria</vt:lpstr>
      <vt:lpstr>New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Adair</dc:creator>
  <cp:lastModifiedBy>Adair, Aaron</cp:lastModifiedBy>
  <dcterms:created xsi:type="dcterms:W3CDTF">2024-07-10T18:05:07Z</dcterms:created>
  <dcterms:modified xsi:type="dcterms:W3CDTF">2026-03-30T14:17:10Z</dcterms:modified>
</cp:coreProperties>
</file>