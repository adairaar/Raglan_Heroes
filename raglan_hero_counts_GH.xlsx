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Ex21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adair/Downloads/"/>
    </mc:Choice>
  </mc:AlternateContent>
  <xr:revisionPtr revIDLastSave="0" documentId="13_ncr:1_{6E581B56-7947-FD45-A042-C644DEACD874}" xr6:coauthVersionLast="47" xr6:coauthVersionMax="47" xr10:uidLastSave="{00000000-0000-0000-0000-000000000000}"/>
  <bookViews>
    <workbookView xWindow="0" yWindow="740" windowWidth="30240" windowHeight="17740" firstSheet="2" activeTab="3" xr2:uid="{55C72741-59D7-F74F-AF3E-4CBBB60049CF}"/>
  </bookViews>
  <sheets>
    <sheet name="cleaned_counts" sheetId="9" r:id="rId1"/>
    <sheet name="cleaned_revised_counts" sheetId="10" r:id="rId2"/>
    <sheet name="cleaned_revised_counts v2" sheetId="11" r:id="rId3"/>
    <sheet name="cleaned_revised_counts v3" sheetId="13" r:id="rId4"/>
    <sheet name="almost_raglan" sheetId="12" r:id="rId5"/>
    <sheet name="Initial Results (3)" sheetId="6" r:id="rId6"/>
    <sheet name="Initial Results" sheetId="1" r:id="rId7"/>
    <sheet name="Sheet2" sheetId="5" r:id="rId8"/>
    <sheet name="Initial Results (2)" sheetId="4" r:id="rId9"/>
    <sheet name="Sheet3" sheetId="3" r:id="rId10"/>
    <sheet name="original meaning" sheetId="2" r:id="rId11"/>
    <sheet name="New Criteria" sheetId="7" r:id="rId12"/>
    <sheet name="New Counts" sheetId="8" r:id="rId13"/>
  </sheets>
  <definedNames>
    <definedName name="_xlchart.v1.0" hidden="1">'Initial Results (3)'!$F$64:$AA$64</definedName>
    <definedName name="_xlchart.v1.1" hidden="1">'Initial Results (3)'!$F$70:$AA$70</definedName>
    <definedName name="_xlchart.v1.10" hidden="1">'Initial Results'!$F$74:$AA$74</definedName>
    <definedName name="_xlchart.v1.11" hidden="1">'Initial Results'!$F$68:$AA$68</definedName>
    <definedName name="_xlchart.v1.12" hidden="1">'Initial Results'!$F$82:$AA$82</definedName>
    <definedName name="_xlchart.v1.13" hidden="1">'Initial Results'!$F$72:$AA$72</definedName>
    <definedName name="_xlchart.v1.14" hidden="1">'Initial Results'!$F$113:$F$346</definedName>
    <definedName name="_xlchart.v1.15" hidden="1">('Initial Results'!$B$2,'Initial Results'!$B$4:$B$34)</definedName>
    <definedName name="_xlchart.v1.16" hidden="1">('Initial Results'!$B$37:$B$46,'Initial Results'!$B$48:$B$50,'Initial Results'!$B$53:$B$57)</definedName>
    <definedName name="_xlchart.v1.17" hidden="1">'Initial Results (2)'!$F$82:$AA$82</definedName>
    <definedName name="_xlchart.v1.18" hidden="1">'Initial Results (2)'!$F$68:$AA$68</definedName>
    <definedName name="_xlchart.v1.19" hidden="1">'Initial Results (2)'!$F$74:$AA$74</definedName>
    <definedName name="_xlchart.v1.2" hidden="1">'Initial Results (3)'!$F$64:$AA$64</definedName>
    <definedName name="_xlchart.v1.20" hidden="1">'Initial Results (2)'!$F$68:$AA$68</definedName>
    <definedName name="_xlchart.v1.21" hidden="1">'Initial Results (2)'!$F$72:$AA$72</definedName>
    <definedName name="_xlchart.v1.22" hidden="1">'New Counts'!$V$2:$V$29</definedName>
    <definedName name="_xlchart.v1.3" hidden="1">'Initial Results (3)'!$F$78:$AA$78</definedName>
    <definedName name="_xlchart.v1.4" hidden="1">'Initial Results (3)'!$F$68:$AA$68</definedName>
    <definedName name="_xlchart.v1.5" hidden="1">'Initial Results (3)'!$F$109:$F$342</definedName>
    <definedName name="_xlchart.v1.6" hidden="1">'Initial Results (3)'!$B$2,'Initial Results (3)'!$B$3:$B$33</definedName>
    <definedName name="_xlchart.v1.7" hidden="1">'Initial Results (3)'!$B$36:$B$45,'Initial Results (3)'!$B$46:$B$48,'Initial Results (3)'!$B$49:$B$53</definedName>
    <definedName name="_xlchart.v1.8" hidden="1">('Initial Results (3)'!$B$2:$B$33,'Initial Results (3)'!$B$36:$B$53)</definedName>
    <definedName name="_xlchart.v1.9" hidden="1">'Initial Results'!$F$68:$AA$68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9" l="1" a="1"/>
  <c r="Y3" i="9" s="1"/>
  <c r="Y4" i="9" a="1"/>
  <c r="Y4" i="9" s="1"/>
  <c r="Y5" i="9" a="1"/>
  <c r="Y5" i="9" s="1"/>
  <c r="Y6" i="9" a="1"/>
  <c r="Y6" i="9"/>
  <c r="Y7" i="9" a="1"/>
  <c r="Y7" i="9" s="1"/>
  <c r="Y8" i="9" a="1"/>
  <c r="Y8" i="9" s="1"/>
  <c r="Y9" i="9" a="1"/>
  <c r="Y9" i="9" s="1"/>
  <c r="Y10" i="9" a="1"/>
  <c r="Y10" i="9" s="1"/>
  <c r="Y11" i="9" a="1"/>
  <c r="Y11" i="9" s="1"/>
  <c r="Y12" i="9" a="1"/>
  <c r="Y12" i="9" s="1"/>
  <c r="Y13" i="9" a="1"/>
  <c r="Y13" i="9" s="1"/>
  <c r="Y14" i="9" a="1"/>
  <c r="Y14" i="9" s="1"/>
  <c r="Y15" i="9" a="1"/>
  <c r="Y15" i="9" s="1"/>
  <c r="Y16" i="9" a="1"/>
  <c r="Y16" i="9" s="1"/>
  <c r="Y17" i="9" a="1"/>
  <c r="Y17" i="9" s="1"/>
  <c r="Y18" i="9" a="1"/>
  <c r="Y18" i="9" s="1"/>
  <c r="Y19" i="9" a="1"/>
  <c r="Y19" i="9" s="1"/>
  <c r="Y20" i="9" a="1"/>
  <c r="Y20" i="9" s="1"/>
  <c r="Y21" i="9" a="1"/>
  <c r="Y21" i="9" s="1"/>
  <c r="Y22" i="9" a="1"/>
  <c r="Y22" i="9" s="1"/>
  <c r="Y23" i="9" a="1"/>
  <c r="Y23" i="9" s="1"/>
  <c r="Y24" i="9" a="1"/>
  <c r="Y24" i="9" s="1"/>
  <c r="Y25" i="9" a="1"/>
  <c r="Y25" i="9" s="1"/>
  <c r="Y26" i="9" a="1"/>
  <c r="Y26" i="9" s="1"/>
  <c r="Y27" i="9" a="1"/>
  <c r="Y27" i="9" s="1"/>
  <c r="Y28" i="9" a="1"/>
  <c r="Y28" i="9" s="1"/>
  <c r="Y29" i="9" a="1"/>
  <c r="Y29" i="9" s="1"/>
  <c r="Y30" i="9" a="1"/>
  <c r="Y30" i="9" s="1"/>
  <c r="Y31" i="9" a="1"/>
  <c r="Y31" i="9" s="1"/>
  <c r="Y32" i="9" a="1"/>
  <c r="Y32" i="9" s="1"/>
  <c r="Y33" i="9" a="1"/>
  <c r="Y33" i="9" s="1"/>
  <c r="Y34" i="9" a="1"/>
  <c r="Y34" i="9" s="1"/>
  <c r="Y35" i="9" a="1"/>
  <c r="Y35" i="9" s="1"/>
  <c r="Y36" i="9" a="1"/>
  <c r="Y36" i="9" s="1"/>
  <c r="Y37" i="9" a="1"/>
  <c r="Y37" i="9" s="1"/>
  <c r="Y38" i="9" a="1"/>
  <c r="Y38" i="9" s="1"/>
  <c r="Y39" i="9" a="1"/>
  <c r="Y39" i="9" s="1"/>
  <c r="Y40" i="9" a="1"/>
  <c r="Y40" i="9" s="1"/>
  <c r="Y41" i="9" a="1"/>
  <c r="Y41" i="9" s="1"/>
  <c r="Y42" i="9" a="1"/>
  <c r="Y42" i="9" s="1"/>
  <c r="Y43" i="9" a="1"/>
  <c r="Y43" i="9" s="1"/>
  <c r="Y44" i="9" a="1"/>
  <c r="Y44" i="9" s="1"/>
  <c r="Y45" i="9" a="1"/>
  <c r="Y45" i="9" s="1"/>
  <c r="Y46" i="9" a="1"/>
  <c r="Y46" i="9" s="1"/>
  <c r="Y47" i="9" a="1"/>
  <c r="Y47" i="9" s="1"/>
  <c r="Y48" i="9" a="1"/>
  <c r="Y48" i="9" s="1"/>
  <c r="Y49" i="9" a="1"/>
  <c r="Y49" i="9" s="1"/>
  <c r="Y50" i="9" a="1"/>
  <c r="Y50" i="9" s="1"/>
  <c r="Y51" i="9" a="1"/>
  <c r="Y51" i="9" s="1"/>
  <c r="Y2" i="9" a="1"/>
  <c r="Y2" i="9" s="1"/>
  <c r="P37" i="13" a="1"/>
  <c r="P37" i="13" s="1"/>
  <c r="S37" i="11" a="1"/>
  <c r="S37" i="11" s="1"/>
  <c r="P36" i="13" a="1"/>
  <c r="P36" i="13" s="1"/>
  <c r="S36" i="11" a="1"/>
  <c r="S36" i="11" s="1"/>
  <c r="P35" i="13" a="1"/>
  <c r="P35" i="13" s="1"/>
  <c r="S35" i="11" a="1"/>
  <c r="S35" i="11" s="1"/>
  <c r="P34" i="13" a="1"/>
  <c r="P34" i="13" s="1"/>
  <c r="P33" i="13" a="1"/>
  <c r="P33" i="13" s="1"/>
  <c r="P32" i="13" a="1"/>
  <c r="P32" i="13" s="1"/>
  <c r="P31" i="13" a="1"/>
  <c r="P31" i="13" s="1"/>
  <c r="P30" i="13" a="1"/>
  <c r="P30" i="13" s="1"/>
  <c r="P29" i="13" a="1"/>
  <c r="P29" i="13" s="1"/>
  <c r="P28" i="13" a="1"/>
  <c r="P28" i="13" s="1"/>
  <c r="P27" i="13" a="1"/>
  <c r="P27" i="13" s="1"/>
  <c r="P26" i="13" a="1"/>
  <c r="P26" i="13" s="1"/>
  <c r="P25" i="13" a="1"/>
  <c r="P25" i="13" s="1"/>
  <c r="P24" i="13" a="1"/>
  <c r="P24" i="13" s="1"/>
  <c r="P23" i="13" a="1"/>
  <c r="P23" i="13" s="1"/>
  <c r="P22" i="13" a="1"/>
  <c r="P22" i="13" s="1"/>
  <c r="P21" i="13" a="1"/>
  <c r="P21" i="13" s="1"/>
  <c r="P20" i="13" a="1"/>
  <c r="P20" i="13" s="1"/>
  <c r="P19" i="13" a="1"/>
  <c r="P19" i="13" s="1"/>
  <c r="P18" i="13" a="1"/>
  <c r="P18" i="13" s="1"/>
  <c r="P17" i="13" a="1"/>
  <c r="P17" i="13" s="1"/>
  <c r="P16" i="13" a="1"/>
  <c r="P16" i="13" s="1"/>
  <c r="P15" i="13" a="1"/>
  <c r="P15" i="13" s="1"/>
  <c r="P14" i="13" a="1"/>
  <c r="P14" i="13" s="1"/>
  <c r="P13" i="13" a="1"/>
  <c r="P13" i="13" s="1"/>
  <c r="P12" i="13" a="1"/>
  <c r="P12" i="13" s="1"/>
  <c r="P11" i="13" a="1"/>
  <c r="P11" i="13" s="1"/>
  <c r="P10" i="13" a="1"/>
  <c r="P10" i="13" s="1"/>
  <c r="P9" i="13" a="1"/>
  <c r="P9" i="13" s="1"/>
  <c r="P8" i="13" a="1"/>
  <c r="P8" i="13" s="1"/>
  <c r="P7" i="13" a="1"/>
  <c r="P7" i="13" s="1"/>
  <c r="P6" i="13" a="1"/>
  <c r="P6" i="13" s="1"/>
  <c r="P5" i="13" a="1"/>
  <c r="P5" i="13" s="1"/>
  <c r="P4" i="13" a="1"/>
  <c r="P4" i="13" s="1"/>
  <c r="P3" i="13" a="1"/>
  <c r="P3" i="13" s="1"/>
  <c r="P2" i="13" a="1"/>
  <c r="P2" i="13" s="1"/>
  <c r="S34" i="11" a="1"/>
  <c r="S34" i="11" s="1"/>
  <c r="S33" i="11" a="1"/>
  <c r="S33" i="11" s="1"/>
  <c r="S32" i="11" a="1"/>
  <c r="S32" i="11" s="1"/>
  <c r="S31" i="11" a="1"/>
  <c r="S31" i="11" s="1"/>
  <c r="S30" i="11" a="1"/>
  <c r="S30" i="11" s="1"/>
  <c r="S26" i="11" a="1"/>
  <c r="S26" i="11" s="1"/>
  <c r="S27" i="11" a="1"/>
  <c r="S27" i="11" s="1"/>
  <c r="S28" i="11" a="1"/>
  <c r="S28" i="11" s="1"/>
  <c r="S29" i="11" a="1"/>
  <c r="S29" i="11" s="1"/>
  <c r="S3" i="11" a="1"/>
  <c r="S3" i="11" s="1"/>
  <c r="S4" i="11" a="1"/>
  <c r="S4" i="11" s="1"/>
  <c r="S5" i="11" a="1"/>
  <c r="S5" i="11" s="1"/>
  <c r="S6" i="11" a="1"/>
  <c r="S6" i="11" s="1"/>
  <c r="S7" i="11" a="1"/>
  <c r="S7" i="11" s="1"/>
  <c r="S8" i="11" a="1"/>
  <c r="S8" i="11" s="1"/>
  <c r="S9" i="11" a="1"/>
  <c r="S9" i="11" s="1"/>
  <c r="S10" i="11" a="1"/>
  <c r="S10" i="11" s="1"/>
  <c r="S11" i="11" a="1"/>
  <c r="S11" i="11" s="1"/>
  <c r="S12" i="11" a="1"/>
  <c r="S12" i="11" s="1"/>
  <c r="S13" i="11" a="1"/>
  <c r="S13" i="11" s="1"/>
  <c r="S14" i="11" a="1"/>
  <c r="S14" i="11" s="1"/>
  <c r="S15" i="11" a="1"/>
  <c r="S15" i="11" s="1"/>
  <c r="S16" i="11" a="1"/>
  <c r="S16" i="11" s="1"/>
  <c r="S17" i="11" a="1"/>
  <c r="S17" i="11" s="1"/>
  <c r="S18" i="11" a="1"/>
  <c r="S18" i="11" s="1"/>
  <c r="S19" i="11" a="1"/>
  <c r="S19" i="11" s="1"/>
  <c r="S20" i="11" a="1"/>
  <c r="S20" i="11" s="1"/>
  <c r="S21" i="11" a="1"/>
  <c r="S21" i="11" s="1"/>
  <c r="S22" i="11" a="1"/>
  <c r="S22" i="11" s="1"/>
  <c r="S23" i="11" a="1"/>
  <c r="S23" i="11" s="1"/>
  <c r="S24" i="11" a="1"/>
  <c r="S24" i="11" s="1"/>
  <c r="S25" i="11" a="1"/>
  <c r="S25" i="11" s="1"/>
  <c r="S2" i="11" a="1"/>
  <c r="S2" i="11" s="1"/>
  <c r="V25" i="8" a="1"/>
  <c r="V25" i="8" s="1"/>
  <c r="W25" i="8" s="1" a="1"/>
  <c r="W25" i="8" s="1"/>
  <c r="X25" i="8" s="1"/>
  <c r="V43" i="8" a="1"/>
  <c r="V43" i="8" s="1"/>
  <c r="W43" i="8" s="1" a="1"/>
  <c r="W43" i="8" s="1"/>
  <c r="X43" i="8" s="1"/>
  <c r="C55" i="6"/>
  <c r="C35" i="6"/>
  <c r="B35" i="6"/>
  <c r="B55" i="6"/>
  <c r="V42" i="8" a="1"/>
  <c r="V42" i="8" s="1"/>
  <c r="W42" i="8" s="1" a="1"/>
  <c r="W42" i="8" s="1"/>
  <c r="X42" i="8" s="1"/>
  <c r="V24" i="8" a="1"/>
  <c r="V24" i="8" s="1"/>
  <c r="W24" i="8" s="1" a="1"/>
  <c r="W24" i="8" s="1"/>
  <c r="X24" i="8" s="1"/>
  <c r="V23" i="8" a="1"/>
  <c r="V23" i="8" s="1"/>
  <c r="W23" i="8" s="1" a="1"/>
  <c r="W23" i="8" s="1"/>
  <c r="X23" i="8" s="1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D30" i="8"/>
  <c r="A30" i="8"/>
  <c r="V19" i="8" a="1"/>
  <c r="V19" i="8" s="1"/>
  <c r="V18" i="8" a="1"/>
  <c r="V18" i="8" s="1"/>
  <c r="V21" i="8" a="1"/>
  <c r="V21" i="8" s="1"/>
  <c r="W21" i="8" s="1" a="1"/>
  <c r="W21" i="8" s="1"/>
  <c r="X21" i="8" s="1"/>
  <c r="V22" i="8" a="1"/>
  <c r="V22" i="8" s="1"/>
  <c r="W22" i="8" s="1" a="1"/>
  <c r="W22" i="8" s="1"/>
  <c r="X22" i="8" s="1"/>
  <c r="V27" i="8" a="1"/>
  <c r="V27" i="8" s="1"/>
  <c r="W27" i="8" s="1" a="1"/>
  <c r="W27" i="8" s="1"/>
  <c r="X27" i="8" s="1"/>
  <c r="V40" i="8" a="1"/>
  <c r="V40" i="8" s="1"/>
  <c r="V17" i="8" a="1"/>
  <c r="V17" i="8" s="1"/>
  <c r="V16" i="8" a="1"/>
  <c r="V16" i="8" s="1"/>
  <c r="V15" i="8" a="1"/>
  <c r="V15" i="8" s="1"/>
  <c r="V14" i="8" a="1"/>
  <c r="V14" i="8" s="1"/>
  <c r="V13" i="8" a="1"/>
  <c r="V13" i="8" s="1"/>
  <c r="V38" i="8" a="1"/>
  <c r="V38" i="8" s="1"/>
  <c r="V12" i="8" a="1"/>
  <c r="V12" i="8" s="1"/>
  <c r="V11" i="8" a="1"/>
  <c r="V11" i="8" s="1"/>
  <c r="V10" i="8" a="1"/>
  <c r="V10" i="8" s="1"/>
  <c r="V9" i="8" a="1"/>
  <c r="V9" i="8" s="1"/>
  <c r="V8" i="8" a="1"/>
  <c r="V8" i="8" s="1"/>
  <c r="V7" i="8" a="1"/>
  <c r="V7" i="8" s="1"/>
  <c r="V6" i="8" a="1"/>
  <c r="V6" i="8" s="1"/>
  <c r="V5" i="8" a="1"/>
  <c r="V5" i="8" s="1"/>
  <c r="V4" i="8" a="1"/>
  <c r="V4" i="8" s="1"/>
  <c r="V3" i="8" a="1"/>
  <c r="V3" i="8" s="1"/>
  <c r="V2" i="8" a="1"/>
  <c r="V2" i="8" s="1"/>
  <c r="D3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2" i="1"/>
  <c r="A34" i="6"/>
  <c r="M70" i="6" s="1"/>
  <c r="AB62" i="6" a="1"/>
  <c r="AB62" i="6" s="1"/>
  <c r="AC62" i="6" s="1" a="1"/>
  <c r="AC62" i="6" s="1"/>
  <c r="AA59" i="6" a="1"/>
  <c r="AA59" i="6" s="1"/>
  <c r="Z59" i="6" a="1"/>
  <c r="Z59" i="6" s="1"/>
  <c r="Y59" i="6" a="1"/>
  <c r="Y59" i="6" s="1"/>
  <c r="X59" i="6" a="1"/>
  <c r="X59" i="6" s="1"/>
  <c r="W59" i="6" a="1"/>
  <c r="W59" i="6" s="1"/>
  <c r="V59" i="6" a="1"/>
  <c r="V59" i="6" s="1"/>
  <c r="U59" i="6" a="1"/>
  <c r="U59" i="6" s="1"/>
  <c r="T59" i="6" a="1"/>
  <c r="T59" i="6" s="1"/>
  <c r="S59" i="6" a="1"/>
  <c r="S59" i="6" s="1"/>
  <c r="R59" i="6" a="1"/>
  <c r="R59" i="6" s="1"/>
  <c r="Q59" i="6" a="1"/>
  <c r="Q59" i="6" s="1"/>
  <c r="P59" i="6" a="1"/>
  <c r="P59" i="6" s="1"/>
  <c r="O59" i="6" a="1"/>
  <c r="O59" i="6" s="1"/>
  <c r="N59" i="6" a="1"/>
  <c r="N59" i="6" s="1"/>
  <c r="M59" i="6" a="1"/>
  <c r="M59" i="6" s="1"/>
  <c r="L59" i="6" a="1"/>
  <c r="L59" i="6" s="1"/>
  <c r="K59" i="6" a="1"/>
  <c r="K59" i="6" s="1"/>
  <c r="J59" i="6" a="1"/>
  <c r="J59" i="6" s="1"/>
  <c r="I59" i="6" a="1"/>
  <c r="I59" i="6" s="1"/>
  <c r="H59" i="6" a="1"/>
  <c r="H59" i="6" s="1"/>
  <c r="G59" i="6" a="1"/>
  <c r="G59" i="6" s="1"/>
  <c r="F59" i="6" a="1"/>
  <c r="F59" i="6" s="1"/>
  <c r="AA56" i="6" a="1"/>
  <c r="AA56" i="6" s="1"/>
  <c r="AA57" i="6" s="1"/>
  <c r="Z56" i="6" a="1"/>
  <c r="Z56" i="6" s="1"/>
  <c r="Y56" i="6" a="1"/>
  <c r="Y56" i="6" s="1"/>
  <c r="X56" i="6" a="1"/>
  <c r="X56" i="6" s="1"/>
  <c r="W56" i="6" a="1"/>
  <c r="W56" i="6" s="1"/>
  <c r="V56" i="6" a="1"/>
  <c r="V56" i="6" s="1"/>
  <c r="U56" i="6" a="1"/>
  <c r="U56" i="6" s="1"/>
  <c r="T56" i="6" a="1"/>
  <c r="T56" i="6" s="1"/>
  <c r="S56" i="6" a="1"/>
  <c r="S56" i="6" s="1"/>
  <c r="S57" i="6" s="1"/>
  <c r="R56" i="6" a="1"/>
  <c r="R56" i="6" s="1"/>
  <c r="Q56" i="6" a="1"/>
  <c r="Q56" i="6" s="1"/>
  <c r="P56" i="6" a="1"/>
  <c r="P56" i="6" s="1"/>
  <c r="O56" i="6" a="1"/>
  <c r="O56" i="6" s="1"/>
  <c r="N56" i="6" a="1"/>
  <c r="N56" i="6" s="1"/>
  <c r="M56" i="6" a="1"/>
  <c r="M56" i="6" s="1"/>
  <c r="L56" i="6" a="1"/>
  <c r="L56" i="6" s="1"/>
  <c r="K56" i="6" a="1"/>
  <c r="K56" i="6" s="1"/>
  <c r="K57" i="6" s="1"/>
  <c r="J56" i="6" a="1"/>
  <c r="J56" i="6" s="1"/>
  <c r="I56" i="6" a="1"/>
  <c r="I56" i="6" s="1"/>
  <c r="H56" i="6" a="1"/>
  <c r="H56" i="6" s="1"/>
  <c r="G56" i="6" a="1"/>
  <c r="G56" i="6" s="1"/>
  <c r="F56" i="6" a="1"/>
  <c r="F56" i="6" s="1"/>
  <c r="A55" i="6"/>
  <c r="C54" i="6"/>
  <c r="B54" i="6"/>
  <c r="AB53" i="6"/>
  <c r="AF53" i="6" s="1"/>
  <c r="AB53" i="6" a="1"/>
  <c r="AB52" i="6" a="1"/>
  <c r="AB52" i="6" s="1"/>
  <c r="AB51" i="6" a="1"/>
  <c r="AB51" i="6" s="1"/>
  <c r="AB50" i="6" a="1"/>
  <c r="AB50" i="6" s="1"/>
  <c r="AC50" i="6" s="1" a="1"/>
  <c r="AC50" i="6" s="1"/>
  <c r="AG50" i="6" s="1"/>
  <c r="AB49" i="6" a="1"/>
  <c r="AB49" i="6" s="1"/>
  <c r="AF49" i="6" s="1"/>
  <c r="AB48" i="6" a="1"/>
  <c r="AB48" i="6" s="1"/>
  <c r="AF48" i="6" s="1"/>
  <c r="AB47" i="6" a="1"/>
  <c r="AB47" i="6" s="1"/>
  <c r="AB46" i="6" a="1"/>
  <c r="AB46" i="6" s="1"/>
  <c r="AF46" i="6" s="1"/>
  <c r="AB45" i="6" a="1"/>
  <c r="AB45" i="6" s="1"/>
  <c r="AB44" i="6" a="1"/>
  <c r="AB44" i="6" s="1"/>
  <c r="AF44" i="6" s="1"/>
  <c r="AB43" i="6" a="1"/>
  <c r="AB43" i="6" s="1"/>
  <c r="AF43" i="6" s="1"/>
  <c r="AB42" i="6" a="1"/>
  <c r="AB42" i="6" s="1"/>
  <c r="AB41" i="6" a="1"/>
  <c r="AB41" i="6" s="1"/>
  <c r="AF41" i="6" s="1"/>
  <c r="AB40" i="6" a="1"/>
  <c r="AB40" i="6" s="1"/>
  <c r="AB39" i="6" a="1"/>
  <c r="AB39" i="6" s="1"/>
  <c r="AF39" i="6" s="1"/>
  <c r="AB38" i="6" a="1"/>
  <c r="AB38" i="6" s="1"/>
  <c r="AB37" i="6" a="1"/>
  <c r="AB37" i="6" s="1"/>
  <c r="AB36" i="6" a="1"/>
  <c r="AB36" i="6" s="1"/>
  <c r="C34" i="6"/>
  <c r="B34" i="6"/>
  <c r="AB33" i="6" a="1"/>
  <c r="AB33" i="6" s="1"/>
  <c r="AF33" i="6" s="1"/>
  <c r="AB32" i="6" a="1"/>
  <c r="AB32" i="6" s="1"/>
  <c r="AF32" i="6" s="1"/>
  <c r="AB31" i="6" a="1"/>
  <c r="AB31" i="6" s="1"/>
  <c r="AB30" i="6" a="1"/>
  <c r="AB30" i="6" s="1"/>
  <c r="AB29" i="6" a="1"/>
  <c r="AB29" i="6" s="1"/>
  <c r="AC29" i="6" s="1" a="1"/>
  <c r="AC29" i="6" s="1"/>
  <c r="AG29" i="6" s="1"/>
  <c r="AB28" i="6" a="1"/>
  <c r="AB28" i="6" s="1"/>
  <c r="AF28" i="6" s="1"/>
  <c r="AB27" i="6" a="1"/>
  <c r="AB27" i="6" s="1"/>
  <c r="AB26" i="6" a="1"/>
  <c r="AB26" i="6" s="1"/>
  <c r="AB25" i="6" a="1"/>
  <c r="AB25" i="6" s="1"/>
  <c r="AB24" i="6" a="1"/>
  <c r="AB24" i="6" s="1"/>
  <c r="AF24" i="6" s="1"/>
  <c r="AB23" i="6" a="1"/>
  <c r="AB23" i="6" s="1"/>
  <c r="AB22" i="6" a="1"/>
  <c r="AB22" i="6" s="1"/>
  <c r="AB21" i="6" a="1"/>
  <c r="AB21" i="6" s="1"/>
  <c r="AB20" i="6" a="1"/>
  <c r="AB20" i="6" s="1"/>
  <c r="AC20" i="6" s="1" a="1"/>
  <c r="AC20" i="6" s="1"/>
  <c r="AG20" i="6" s="1"/>
  <c r="AB19" i="6" a="1"/>
  <c r="AB19" i="6" s="1"/>
  <c r="AB18" i="6" a="1"/>
  <c r="AB18" i="6" s="1"/>
  <c r="AB17" i="6" a="1"/>
  <c r="AB17" i="6" s="1"/>
  <c r="AB16" i="6" a="1"/>
  <c r="AB16" i="6" s="1"/>
  <c r="AF16" i="6" s="1"/>
  <c r="AB15" i="6" a="1"/>
  <c r="AB15" i="6" s="1"/>
  <c r="AB14" i="6" a="1"/>
  <c r="AB14" i="6" s="1"/>
  <c r="AB13" i="6" a="1"/>
  <c r="AB13" i="6" s="1"/>
  <c r="AB12" i="6" a="1"/>
  <c r="AB12" i="6" s="1"/>
  <c r="AC12" i="6" s="1" a="1"/>
  <c r="AC12" i="6" s="1"/>
  <c r="AG12" i="6" s="1"/>
  <c r="AB11" i="6" a="1"/>
  <c r="AB11" i="6" s="1"/>
  <c r="AB10" i="6" a="1"/>
  <c r="AB10" i="6" s="1"/>
  <c r="AB9" i="6" a="1"/>
  <c r="AB9" i="6" s="1"/>
  <c r="AB8" i="6" a="1"/>
  <c r="AB8" i="6" s="1"/>
  <c r="AC8" i="6" s="1" a="1"/>
  <c r="AC8" i="6" s="1"/>
  <c r="AG8" i="6" s="1"/>
  <c r="AB7" i="6" a="1"/>
  <c r="AB7" i="6" s="1"/>
  <c r="AB6" i="6" a="1"/>
  <c r="AB6" i="6" s="1"/>
  <c r="AB5" i="6" a="1"/>
  <c r="AB5" i="6" s="1"/>
  <c r="AF5" i="6" s="1"/>
  <c r="AB4" i="6" a="1"/>
  <c r="AB4" i="6" s="1"/>
  <c r="AF4" i="6" s="1"/>
  <c r="AB3" i="6" a="1"/>
  <c r="AB3" i="6" s="1"/>
  <c r="AB2" i="6" a="1"/>
  <c r="AB2" i="6" s="1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B17" i="5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113" i="1"/>
  <c r="G60" i="4" a="1"/>
  <c r="G60" i="4" s="1"/>
  <c r="H60" i="4" a="1"/>
  <c r="H60" i="4" s="1"/>
  <c r="I60" i="4" a="1"/>
  <c r="I60" i="4" s="1"/>
  <c r="J60" i="4" a="1"/>
  <c r="J60" i="4" s="1"/>
  <c r="K60" i="4" a="1"/>
  <c r="K60" i="4" s="1"/>
  <c r="L60" i="4" a="1"/>
  <c r="L60" i="4" s="1"/>
  <c r="M60" i="4" a="1"/>
  <c r="M60" i="4" s="1"/>
  <c r="N60" i="4" a="1"/>
  <c r="N60" i="4" s="1"/>
  <c r="O60" i="4" a="1"/>
  <c r="O60" i="4" s="1"/>
  <c r="P60" i="4" a="1"/>
  <c r="P60" i="4" s="1"/>
  <c r="Q60" i="4" a="1"/>
  <c r="Q60" i="4" s="1"/>
  <c r="R60" i="4" a="1"/>
  <c r="R60" i="4" s="1"/>
  <c r="S60" i="4" a="1"/>
  <c r="S60" i="4" s="1"/>
  <c r="T60" i="4" a="1"/>
  <c r="T60" i="4" s="1"/>
  <c r="U60" i="4" a="1"/>
  <c r="U60" i="4" s="1"/>
  <c r="V60" i="4" a="1"/>
  <c r="V60" i="4" s="1"/>
  <c r="W60" i="4" a="1"/>
  <c r="W60" i="4" s="1"/>
  <c r="X60" i="4" a="1"/>
  <c r="X60" i="4" s="1"/>
  <c r="Y60" i="4" a="1"/>
  <c r="Y60" i="4" s="1"/>
  <c r="Z60" i="4" a="1"/>
  <c r="Z60" i="4" s="1"/>
  <c r="AA60" i="4" a="1"/>
  <c r="AA60" i="4" s="1"/>
  <c r="F60" i="4" a="1"/>
  <c r="F60" i="4" s="1"/>
  <c r="AB66" i="4" a="1"/>
  <c r="AB66" i="4" s="1"/>
  <c r="AC66" i="4" s="1" a="1"/>
  <c r="AC66" i="4" s="1"/>
  <c r="AA63" i="4" a="1"/>
  <c r="AA63" i="4" s="1"/>
  <c r="Z63" i="4" a="1"/>
  <c r="Z63" i="4" s="1"/>
  <c r="Y63" i="4" a="1"/>
  <c r="Y63" i="4" s="1"/>
  <c r="X63" i="4" a="1"/>
  <c r="X63" i="4" s="1"/>
  <c r="W63" i="4" a="1"/>
  <c r="W63" i="4" s="1"/>
  <c r="V63" i="4" a="1"/>
  <c r="V63" i="4" s="1"/>
  <c r="U63" i="4" a="1"/>
  <c r="U63" i="4" s="1"/>
  <c r="T63" i="4" a="1"/>
  <c r="T63" i="4" s="1"/>
  <c r="S63" i="4" a="1"/>
  <c r="S63" i="4" s="1"/>
  <c r="R63" i="4" a="1"/>
  <c r="R63" i="4" s="1"/>
  <c r="Q63" i="4" a="1"/>
  <c r="Q63" i="4" s="1"/>
  <c r="P63" i="4" a="1"/>
  <c r="P63" i="4" s="1"/>
  <c r="O63" i="4" a="1"/>
  <c r="O63" i="4" s="1"/>
  <c r="N63" i="4" a="1"/>
  <c r="N63" i="4" s="1"/>
  <c r="M63" i="4" a="1"/>
  <c r="M63" i="4" s="1"/>
  <c r="L63" i="4" a="1"/>
  <c r="L63" i="4" s="1"/>
  <c r="K63" i="4" a="1"/>
  <c r="K63" i="4" s="1"/>
  <c r="J63" i="4" a="1"/>
  <c r="J63" i="4" s="1"/>
  <c r="I63" i="4" a="1"/>
  <c r="I63" i="4" s="1"/>
  <c r="H63" i="4" a="1"/>
  <c r="H63" i="4" s="1"/>
  <c r="G63" i="4" a="1"/>
  <c r="G63" i="4" s="1"/>
  <c r="F63" i="4" a="1"/>
  <c r="F63" i="4" s="1"/>
  <c r="A59" i="4"/>
  <c r="C58" i="4"/>
  <c r="B58" i="4"/>
  <c r="AB57" i="4"/>
  <c r="AF57" i="4" s="1"/>
  <c r="AB57" i="4" a="1"/>
  <c r="AB56" i="4"/>
  <c r="AF56" i="4" s="1"/>
  <c r="AB56" i="4" a="1"/>
  <c r="AB55" i="4"/>
  <c r="AF55" i="4" s="1"/>
  <c r="AB55" i="4" a="1"/>
  <c r="AB54" i="4"/>
  <c r="AC54" i="4" s="1" a="1"/>
  <c r="AC54" i="4" s="1"/>
  <c r="AG54" i="4" s="1"/>
  <c r="AB54" i="4" a="1"/>
  <c r="AB53" i="4"/>
  <c r="AF53" i="4" s="1"/>
  <c r="AB53" i="4" a="1"/>
  <c r="AB52" i="4"/>
  <c r="AF52" i="4" s="1"/>
  <c r="AB52" i="4" a="1"/>
  <c r="AB51" i="4"/>
  <c r="AF51" i="4" s="1"/>
  <c r="AB51" i="4" a="1"/>
  <c r="AB50" i="4"/>
  <c r="AC50" i="4" s="1" a="1"/>
  <c r="AC50" i="4" s="1"/>
  <c r="AG50" i="4" s="1"/>
  <c r="AB50" i="4" a="1"/>
  <c r="AB49" i="4"/>
  <c r="AF49" i="4" s="1"/>
  <c r="AB49" i="4" a="1"/>
  <c r="AB48" i="4"/>
  <c r="AF48" i="4" s="1"/>
  <c r="AB48" i="4" a="1"/>
  <c r="AB47" i="4"/>
  <c r="AF47" i="4" s="1"/>
  <c r="AB47" i="4" a="1"/>
  <c r="AB46" i="4"/>
  <c r="AC46" i="4" s="1" a="1"/>
  <c r="AC46" i="4" s="1"/>
  <c r="AG46" i="4" s="1"/>
  <c r="AB46" i="4" a="1"/>
  <c r="AB45" i="4"/>
  <c r="AF45" i="4" s="1"/>
  <c r="AB45" i="4" a="1"/>
  <c r="AB44" i="4"/>
  <c r="AF44" i="4" s="1"/>
  <c r="AB44" i="4" a="1"/>
  <c r="AB43" i="4"/>
  <c r="AF43" i="4" s="1"/>
  <c r="AB43" i="4" a="1"/>
  <c r="AB42" i="4"/>
  <c r="AC42" i="4" s="1" a="1"/>
  <c r="AC42" i="4" s="1"/>
  <c r="AG42" i="4" s="1"/>
  <c r="AB42" i="4" a="1"/>
  <c r="AB41" i="4"/>
  <c r="AF41" i="4" s="1"/>
  <c r="AB41" i="4" a="1"/>
  <c r="AB40" i="4"/>
  <c r="AF40" i="4" s="1"/>
  <c r="AB40" i="4" a="1"/>
  <c r="AF39" i="4"/>
  <c r="AB39" i="4"/>
  <c r="AC39" i="4" s="1" a="1"/>
  <c r="AC39" i="4" s="1"/>
  <c r="AG39" i="4" s="1"/>
  <c r="AB39" i="4" a="1"/>
  <c r="AB38" i="4"/>
  <c r="AC38" i="4" s="1" a="1"/>
  <c r="AC38" i="4" s="1"/>
  <c r="AG38" i="4" s="1"/>
  <c r="AB38" i="4" a="1"/>
  <c r="AB37" i="4"/>
  <c r="AF37" i="4" s="1"/>
  <c r="AB37" i="4" a="1"/>
  <c r="C35" i="4"/>
  <c r="B35" i="4"/>
  <c r="AB34" i="4"/>
  <c r="AF34" i="4" s="1"/>
  <c r="AB34" i="4" a="1"/>
  <c r="AB33" i="4"/>
  <c r="AF33" i="4" s="1"/>
  <c r="AB33" i="4" a="1"/>
  <c r="AB32" i="4" a="1"/>
  <c r="AB32" i="4" s="1"/>
  <c r="AB31" i="4"/>
  <c r="AC31" i="4" s="1" a="1"/>
  <c r="AC31" i="4" s="1"/>
  <c r="AG31" i="4" s="1"/>
  <c r="AB31" i="4" a="1"/>
  <c r="AB30" i="4"/>
  <c r="AF30" i="4" s="1"/>
  <c r="AB30" i="4" a="1"/>
  <c r="AB29" i="4" a="1"/>
  <c r="AB29" i="4" s="1"/>
  <c r="AB28" i="4" a="1"/>
  <c r="AB28" i="4" s="1"/>
  <c r="AB27" i="4"/>
  <c r="AC27" i="4" s="1" a="1"/>
  <c r="AC27" i="4" s="1"/>
  <c r="AG27" i="4" s="1"/>
  <c r="AB27" i="4" a="1"/>
  <c r="AB26" i="4"/>
  <c r="AF26" i="4" s="1"/>
  <c r="AB26" i="4" a="1"/>
  <c r="AB25" i="4" a="1"/>
  <c r="AB25" i="4" s="1"/>
  <c r="AB24" i="4" a="1"/>
  <c r="AB24" i="4" s="1"/>
  <c r="AB23" i="4"/>
  <c r="AC23" i="4" s="1" a="1"/>
  <c r="AC23" i="4" s="1"/>
  <c r="AG23" i="4" s="1"/>
  <c r="AB23" i="4" a="1"/>
  <c r="AB22" i="4"/>
  <c r="AF22" i="4" s="1"/>
  <c r="AB22" i="4" a="1"/>
  <c r="AB21" i="4" a="1"/>
  <c r="AB21" i="4" s="1"/>
  <c r="AB20" i="4" a="1"/>
  <c r="AB20" i="4" s="1"/>
  <c r="AB19" i="4"/>
  <c r="AC19" i="4" s="1" a="1"/>
  <c r="AC19" i="4" s="1"/>
  <c r="AG19" i="4" s="1"/>
  <c r="AB19" i="4" a="1"/>
  <c r="AB18" i="4"/>
  <c r="AF18" i="4" s="1"/>
  <c r="AB18" i="4" a="1"/>
  <c r="AB17" i="4" a="1"/>
  <c r="AB17" i="4" s="1"/>
  <c r="AB16" i="4" a="1"/>
  <c r="AB16" i="4" s="1"/>
  <c r="AB15" i="4"/>
  <c r="AC15" i="4" s="1" a="1"/>
  <c r="AC15" i="4" s="1"/>
  <c r="AG15" i="4" s="1"/>
  <c r="AB15" i="4" a="1"/>
  <c r="AB14" i="4"/>
  <c r="AF14" i="4" s="1"/>
  <c r="AB14" i="4" a="1"/>
  <c r="AB13" i="4" a="1"/>
  <c r="AB13" i="4" s="1"/>
  <c r="AB12" i="4" a="1"/>
  <c r="AB12" i="4" s="1"/>
  <c r="AB11" i="4"/>
  <c r="AC11" i="4" s="1" a="1"/>
  <c r="AC11" i="4" s="1"/>
  <c r="AG11" i="4" s="1"/>
  <c r="AB11" i="4" a="1"/>
  <c r="AB10" i="4"/>
  <c r="AF10" i="4" s="1"/>
  <c r="AB10" i="4" a="1"/>
  <c r="AB9" i="4" a="1"/>
  <c r="AB9" i="4" s="1"/>
  <c r="AB8" i="4" a="1"/>
  <c r="AB8" i="4" s="1"/>
  <c r="AB7" i="4"/>
  <c r="AC7" i="4" s="1" a="1"/>
  <c r="AC7" i="4" s="1"/>
  <c r="AG7" i="4" s="1"/>
  <c r="AB7" i="4" a="1"/>
  <c r="AB6" i="4"/>
  <c r="AF6" i="4" s="1"/>
  <c r="AB6" i="4" a="1"/>
  <c r="AB5" i="4" a="1"/>
  <c r="AB5" i="4" s="1"/>
  <c r="AB4" i="4" a="1"/>
  <c r="AB4" i="4" s="1"/>
  <c r="AB3" i="4"/>
  <c r="AC3" i="4" s="1" a="1"/>
  <c r="AC3" i="4" s="1"/>
  <c r="AG3" i="4" s="1"/>
  <c r="AB3" i="4" a="1"/>
  <c r="AB2" i="4"/>
  <c r="AF2" i="4" s="1"/>
  <c r="AB2" i="4" a="1"/>
  <c r="C58" i="1"/>
  <c r="B58" i="1"/>
  <c r="C35" i="1"/>
  <c r="B35" i="1"/>
  <c r="G72" i="1"/>
  <c r="H72" i="1"/>
  <c r="I72" i="1"/>
  <c r="J72" i="1"/>
  <c r="K72" i="1"/>
  <c r="L72" i="1"/>
  <c r="M72" i="1"/>
  <c r="N72" i="1"/>
  <c r="AC72" i="1" s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F72" i="1"/>
  <c r="AA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F78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F83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F82" i="1"/>
  <c r="AC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F74" i="1"/>
  <c r="AA75" i="1"/>
  <c r="AB26" i="3" a="1"/>
  <c r="AB26" i="3" s="1"/>
  <c r="AC26" i="3" s="1" a="1"/>
  <c r="AC26" i="3" s="1"/>
  <c r="AA23" i="3" a="1"/>
  <c r="AA23" i="3" s="1"/>
  <c r="Z23" i="3" a="1"/>
  <c r="Z23" i="3" s="1"/>
  <c r="Y23" i="3" a="1"/>
  <c r="Y23" i="3" s="1"/>
  <c r="X23" i="3" a="1"/>
  <c r="X23" i="3" s="1"/>
  <c r="W23" i="3" a="1"/>
  <c r="W23" i="3" s="1"/>
  <c r="V23" i="3" a="1"/>
  <c r="V23" i="3" s="1"/>
  <c r="U23" i="3" a="1"/>
  <c r="U23" i="3" s="1"/>
  <c r="T23" i="3" a="1"/>
  <c r="T23" i="3" s="1"/>
  <c r="S23" i="3" a="1"/>
  <c r="S23" i="3" s="1"/>
  <c r="R23" i="3" a="1"/>
  <c r="R23" i="3" s="1"/>
  <c r="Q23" i="3" a="1"/>
  <c r="Q23" i="3" s="1"/>
  <c r="P23" i="3" a="1"/>
  <c r="P23" i="3" s="1"/>
  <c r="O23" i="3" a="1"/>
  <c r="O23" i="3" s="1"/>
  <c r="N23" i="3" a="1"/>
  <c r="N23" i="3" s="1"/>
  <c r="M23" i="3" a="1"/>
  <c r="M23" i="3" s="1"/>
  <c r="L23" i="3" a="1"/>
  <c r="L23" i="3" s="1"/>
  <c r="K23" i="3" a="1"/>
  <c r="K23" i="3" s="1"/>
  <c r="J23" i="3" a="1"/>
  <c r="J23" i="3" s="1"/>
  <c r="I23" i="3" a="1"/>
  <c r="I23" i="3" s="1"/>
  <c r="H23" i="3" a="1"/>
  <c r="H23" i="3" s="1"/>
  <c r="G23" i="3" a="1"/>
  <c r="G23" i="3" s="1"/>
  <c r="F23" i="3" a="1"/>
  <c r="F23" i="3" s="1"/>
  <c r="A19" i="3"/>
  <c r="R24" i="3" s="1"/>
  <c r="R29" i="3" s="1"/>
  <c r="AB17" i="3" a="1"/>
  <c r="AB17" i="3" s="1"/>
  <c r="AB16" i="3" a="1"/>
  <c r="AB16" i="3" s="1"/>
  <c r="AB15" i="3" a="1"/>
  <c r="AB15" i="3" s="1"/>
  <c r="AB14" i="3" a="1"/>
  <c r="AB14" i="3" s="1"/>
  <c r="AB13" i="3" a="1"/>
  <c r="AB13" i="3" s="1"/>
  <c r="AB12" i="3" a="1"/>
  <c r="AB12" i="3" s="1"/>
  <c r="AB11" i="3" a="1"/>
  <c r="AB11" i="3" s="1"/>
  <c r="AB10" i="3" a="1"/>
  <c r="AB10" i="3" s="1"/>
  <c r="AB9" i="3" a="1"/>
  <c r="AB9" i="3" s="1"/>
  <c r="AB8" i="3" a="1"/>
  <c r="AB8" i="3" s="1"/>
  <c r="AB7" i="3" a="1"/>
  <c r="AB7" i="3" s="1"/>
  <c r="AB6" i="3" a="1"/>
  <c r="AB6" i="3" s="1"/>
  <c r="AB5" i="3" a="1"/>
  <c r="AB5" i="3" s="1"/>
  <c r="AB4" i="3" a="1"/>
  <c r="AB4" i="3" s="1"/>
  <c r="AB3" i="3" a="1"/>
  <c r="AB3" i="3" s="1"/>
  <c r="AB2" i="3" a="1"/>
  <c r="AB2" i="3" s="1"/>
  <c r="AG42" i="1"/>
  <c r="AG47" i="1"/>
  <c r="AG55" i="1"/>
  <c r="J68" i="1"/>
  <c r="R68" i="1"/>
  <c r="Z68" i="1"/>
  <c r="J64" i="1"/>
  <c r="L64" i="1"/>
  <c r="R64" i="1"/>
  <c r="T64" i="1"/>
  <c r="Z64" i="1"/>
  <c r="F64" i="1"/>
  <c r="A59" i="1"/>
  <c r="G64" i="1" s="1"/>
  <c r="G63" i="1" a="1"/>
  <c r="G63" i="1" s="1"/>
  <c r="H63" i="1" a="1"/>
  <c r="H63" i="1" s="1"/>
  <c r="I63" i="1" a="1"/>
  <c r="I63" i="1" s="1"/>
  <c r="J63" i="1" a="1"/>
  <c r="J63" i="1" s="1"/>
  <c r="K63" i="1" a="1"/>
  <c r="K63" i="1" s="1"/>
  <c r="L63" i="1" a="1"/>
  <c r="L63" i="1" s="1"/>
  <c r="M63" i="1" a="1"/>
  <c r="M63" i="1" s="1"/>
  <c r="M64" i="1" s="1"/>
  <c r="N63" i="1" a="1"/>
  <c r="N63" i="1" s="1"/>
  <c r="O63" i="1" a="1"/>
  <c r="O63" i="1" s="1"/>
  <c r="P63" i="1" a="1"/>
  <c r="P63" i="1" s="1"/>
  <c r="Q63" i="1" a="1"/>
  <c r="Q63" i="1" s="1"/>
  <c r="R63" i="1" a="1"/>
  <c r="R63" i="1" s="1"/>
  <c r="S63" i="1" a="1"/>
  <c r="S63" i="1" s="1"/>
  <c r="T63" i="1" a="1"/>
  <c r="T63" i="1" s="1"/>
  <c r="U63" i="1" a="1"/>
  <c r="U63" i="1" s="1"/>
  <c r="U64" i="1" s="1"/>
  <c r="V63" i="1" a="1"/>
  <c r="V63" i="1" s="1"/>
  <c r="W63" i="1" a="1"/>
  <c r="W63" i="1" s="1"/>
  <c r="X63" i="1" a="1"/>
  <c r="X63" i="1" s="1"/>
  <c r="Y63" i="1" a="1"/>
  <c r="Y63" i="1" s="1"/>
  <c r="Z63" i="1" a="1"/>
  <c r="Z63" i="1" s="1"/>
  <c r="AA63" i="1" a="1"/>
  <c r="AA63" i="1" s="1"/>
  <c r="F63" i="1" a="1"/>
  <c r="F63" i="1" s="1"/>
  <c r="AB57" i="1" a="1"/>
  <c r="AB57" i="1" s="1"/>
  <c r="AC57" i="1" s="1" a="1"/>
  <c r="AC57" i="1" s="1"/>
  <c r="AG57" i="1" s="1"/>
  <c r="AB56" i="1" a="1"/>
  <c r="AB56" i="1" s="1"/>
  <c r="AC56" i="1" s="1" a="1"/>
  <c r="AC56" i="1" s="1"/>
  <c r="AG56" i="1" s="1"/>
  <c r="AB55" i="1" a="1"/>
  <c r="AB55" i="1" s="1"/>
  <c r="AC55" i="1" s="1" a="1"/>
  <c r="AC55" i="1" s="1"/>
  <c r="AB66" i="1" a="1"/>
  <c r="AB66" i="1" s="1"/>
  <c r="AC66" i="1" s="1" a="1"/>
  <c r="AC66" i="1" s="1"/>
  <c r="G60" i="1" a="1"/>
  <c r="G60" i="1" s="1"/>
  <c r="G61" i="1" s="1"/>
  <c r="H60" i="1" a="1"/>
  <c r="H60" i="1" s="1"/>
  <c r="H61" i="1" s="1"/>
  <c r="I60" i="1" a="1"/>
  <c r="I60" i="1" s="1"/>
  <c r="I61" i="1" s="1"/>
  <c r="J60" i="1" a="1"/>
  <c r="J60" i="1" s="1"/>
  <c r="J61" i="1" s="1"/>
  <c r="K60" i="1" a="1"/>
  <c r="K60" i="1" s="1"/>
  <c r="K61" i="1" s="1"/>
  <c r="L60" i="1" a="1"/>
  <c r="L60" i="1" s="1"/>
  <c r="L61" i="1" s="1"/>
  <c r="M60" i="1" a="1"/>
  <c r="M60" i="1" s="1"/>
  <c r="M61" i="1" s="1"/>
  <c r="N60" i="1" a="1"/>
  <c r="N60" i="1" s="1"/>
  <c r="N61" i="1" s="1"/>
  <c r="O60" i="1" a="1"/>
  <c r="O60" i="1" s="1"/>
  <c r="O61" i="1" s="1"/>
  <c r="P60" i="1" a="1"/>
  <c r="P60" i="1" s="1"/>
  <c r="P61" i="1" s="1"/>
  <c r="Q60" i="1" a="1"/>
  <c r="Q60" i="1" s="1"/>
  <c r="Q61" i="1" s="1"/>
  <c r="R60" i="1" a="1"/>
  <c r="R60" i="1" s="1"/>
  <c r="R61" i="1" s="1"/>
  <c r="S60" i="1" a="1"/>
  <c r="S60" i="1" s="1"/>
  <c r="S61" i="1" s="1"/>
  <c r="T60" i="1" a="1"/>
  <c r="T60" i="1" s="1"/>
  <c r="T61" i="1" s="1"/>
  <c r="U60" i="1" a="1"/>
  <c r="U60" i="1" s="1"/>
  <c r="U61" i="1" s="1"/>
  <c r="V60" i="1" a="1"/>
  <c r="V60" i="1" s="1"/>
  <c r="V61" i="1" s="1"/>
  <c r="W60" i="1" a="1"/>
  <c r="W60" i="1" s="1"/>
  <c r="W61" i="1" s="1"/>
  <c r="X60" i="1" a="1"/>
  <c r="X60" i="1" s="1"/>
  <c r="X61" i="1" s="1"/>
  <c r="Y60" i="1" a="1"/>
  <c r="Y60" i="1" s="1"/>
  <c r="Y61" i="1" s="1"/>
  <c r="Z60" i="1" a="1"/>
  <c r="Z60" i="1" s="1"/>
  <c r="Z61" i="1" s="1"/>
  <c r="AA60" i="1" a="1"/>
  <c r="AA60" i="1" s="1"/>
  <c r="AA61" i="1" s="1"/>
  <c r="F60" i="1" a="1"/>
  <c r="F60" i="1" s="1"/>
  <c r="F61" i="1" s="1"/>
  <c r="AB42" i="1" a="1"/>
  <c r="AB42" i="1" s="1"/>
  <c r="AC42" i="1" s="1" a="1"/>
  <c r="AC42" i="1" s="1"/>
  <c r="AB43" i="1" a="1"/>
  <c r="AB43" i="1" s="1"/>
  <c r="AC43" i="1" s="1" a="1"/>
  <c r="AC43" i="1" s="1"/>
  <c r="AG43" i="1" s="1"/>
  <c r="AB44" i="1" a="1"/>
  <c r="AB44" i="1" s="1"/>
  <c r="AC44" i="1" s="1" a="1"/>
  <c r="AC44" i="1" s="1"/>
  <c r="AG44" i="1" s="1"/>
  <c r="AB45" i="1" a="1"/>
  <c r="AB45" i="1" s="1"/>
  <c r="AC45" i="1" s="1" a="1"/>
  <c r="AC45" i="1" s="1"/>
  <c r="AG45" i="1" s="1"/>
  <c r="AB46" i="1" a="1"/>
  <c r="AB46" i="1" s="1"/>
  <c r="AC46" i="1" s="1" a="1"/>
  <c r="AC46" i="1" s="1"/>
  <c r="AG46" i="1" s="1"/>
  <c r="AB47" i="1" a="1"/>
  <c r="AB47" i="1" s="1"/>
  <c r="AC47" i="1" s="1" a="1"/>
  <c r="AC47" i="1" s="1"/>
  <c r="AB48" i="1" a="1"/>
  <c r="AB48" i="1" s="1"/>
  <c r="AC48" i="1" s="1" a="1"/>
  <c r="AC48" i="1" s="1"/>
  <c r="AG48" i="1" s="1"/>
  <c r="AB49" i="1" a="1"/>
  <c r="AB49" i="1" s="1"/>
  <c r="AC49" i="1" s="1" a="1"/>
  <c r="AC49" i="1" s="1"/>
  <c r="AG49" i="1" s="1"/>
  <c r="AB50" i="1" a="1"/>
  <c r="AB50" i="1" s="1"/>
  <c r="AC50" i="1" s="1" a="1"/>
  <c r="AC50" i="1" s="1"/>
  <c r="AG50" i="1" s="1"/>
  <c r="AB51" i="1" a="1"/>
  <c r="AB51" i="1" s="1"/>
  <c r="AC51" i="1" s="1" a="1"/>
  <c r="AC51" i="1" s="1"/>
  <c r="AG51" i="1" s="1"/>
  <c r="AB52" i="1" a="1"/>
  <c r="AB52" i="1" s="1"/>
  <c r="AC52" i="1" s="1" a="1"/>
  <c r="AC52" i="1" s="1"/>
  <c r="AG52" i="1" s="1"/>
  <c r="AB53" i="1" a="1"/>
  <c r="AB53" i="1" s="1"/>
  <c r="AC53" i="1" s="1" a="1"/>
  <c r="AC53" i="1" s="1"/>
  <c r="AG53" i="1" s="1"/>
  <c r="AB54" i="1" a="1"/>
  <c r="AB54" i="1" s="1"/>
  <c r="AC54" i="1" s="1" a="1"/>
  <c r="AC54" i="1" s="1"/>
  <c r="AG54" i="1" s="1"/>
  <c r="AB14" i="1" a="1"/>
  <c r="AB14" i="1" s="1"/>
  <c r="AF14" i="1" s="1"/>
  <c r="AB15" i="1" a="1"/>
  <c r="AB15" i="1" s="1"/>
  <c r="AC15" i="1" s="1" a="1"/>
  <c r="AC15" i="1" s="1"/>
  <c r="AG15" i="1" s="1"/>
  <c r="AB16" i="1" a="1"/>
  <c r="AB16" i="1" s="1"/>
  <c r="AC16" i="1" s="1" a="1"/>
  <c r="AC16" i="1" s="1"/>
  <c r="AG16" i="1" s="1"/>
  <c r="AB17" i="1" a="1"/>
  <c r="AB17" i="1" s="1"/>
  <c r="AC17" i="1" s="1" a="1"/>
  <c r="AC17" i="1" s="1"/>
  <c r="AG17" i="1" s="1"/>
  <c r="AB18" i="1" a="1"/>
  <c r="AB18" i="1" s="1"/>
  <c r="AC18" i="1" s="1" a="1"/>
  <c r="AC18" i="1" s="1"/>
  <c r="AG18" i="1" s="1"/>
  <c r="AB19" i="1" a="1"/>
  <c r="AB19" i="1" s="1"/>
  <c r="AC19" i="1" s="1" a="1"/>
  <c r="AC19" i="1" s="1"/>
  <c r="AG19" i="1" s="1"/>
  <c r="AB20" i="1" a="1"/>
  <c r="AB20" i="1" s="1"/>
  <c r="AC20" i="1" s="1" a="1"/>
  <c r="AC20" i="1" s="1"/>
  <c r="AG20" i="1" s="1"/>
  <c r="AB21" i="1" a="1"/>
  <c r="AB21" i="1" s="1"/>
  <c r="AC21" i="1" s="1" a="1"/>
  <c r="AC21" i="1" s="1"/>
  <c r="AG21" i="1" s="1"/>
  <c r="AB22" i="1" a="1"/>
  <c r="AB22" i="1" s="1"/>
  <c r="AC22" i="1" s="1" a="1"/>
  <c r="AC22" i="1" s="1"/>
  <c r="AG22" i="1" s="1"/>
  <c r="AB23" i="1" a="1"/>
  <c r="AB23" i="1" s="1"/>
  <c r="AC23" i="1" s="1" a="1"/>
  <c r="AC23" i="1" s="1"/>
  <c r="AG23" i="1" s="1"/>
  <c r="AB24" i="1" a="1"/>
  <c r="AB24" i="1" s="1"/>
  <c r="AC24" i="1" s="1" a="1"/>
  <c r="AC24" i="1" s="1"/>
  <c r="AG24" i="1" s="1"/>
  <c r="AB25" i="1" a="1"/>
  <c r="AB25" i="1" s="1"/>
  <c r="AC25" i="1" s="1" a="1"/>
  <c r="AC25" i="1" s="1"/>
  <c r="AG25" i="1" s="1"/>
  <c r="AB26" i="1" a="1"/>
  <c r="AB26" i="1" s="1"/>
  <c r="AC26" i="1" s="1" a="1"/>
  <c r="AC26" i="1" s="1"/>
  <c r="AG26" i="1" s="1"/>
  <c r="AB27" i="1" a="1"/>
  <c r="AB27" i="1" s="1"/>
  <c r="AC27" i="1" s="1" a="1"/>
  <c r="AC27" i="1" s="1"/>
  <c r="AG27" i="1" s="1"/>
  <c r="AB28" i="1" a="1"/>
  <c r="AB28" i="1" s="1"/>
  <c r="AC28" i="1" s="1" a="1"/>
  <c r="AC28" i="1" s="1"/>
  <c r="AG28" i="1" s="1"/>
  <c r="AB29" i="1" a="1"/>
  <c r="AB29" i="1" s="1"/>
  <c r="AC29" i="1" s="1" a="1"/>
  <c r="AC29" i="1" s="1"/>
  <c r="AG29" i="1" s="1"/>
  <c r="AB30" i="1" a="1"/>
  <c r="AB30" i="1" s="1"/>
  <c r="AC30" i="1" s="1" a="1"/>
  <c r="AC30" i="1" s="1"/>
  <c r="AG30" i="1" s="1"/>
  <c r="AB31" i="1" a="1"/>
  <c r="AB31" i="1" s="1"/>
  <c r="AC31" i="1" s="1" a="1"/>
  <c r="AC31" i="1" s="1"/>
  <c r="AG31" i="1" s="1"/>
  <c r="AB32" i="1" a="1"/>
  <c r="AB32" i="1" s="1"/>
  <c r="AC32" i="1" s="1" a="1"/>
  <c r="AC32" i="1" s="1"/>
  <c r="AG32" i="1" s="1"/>
  <c r="AB33" i="1" a="1"/>
  <c r="AB33" i="1" s="1"/>
  <c r="AC33" i="1" s="1" a="1"/>
  <c r="AC33" i="1" s="1"/>
  <c r="AG33" i="1" s="1"/>
  <c r="AB34" i="1" a="1"/>
  <c r="AB34" i="1" s="1"/>
  <c r="AC34" i="1" s="1" a="1"/>
  <c r="AC34" i="1" s="1"/>
  <c r="AG34" i="1" s="1"/>
  <c r="AB37" i="1" a="1"/>
  <c r="AB37" i="1" s="1"/>
  <c r="AC37" i="1" s="1" a="1"/>
  <c r="AC37" i="1" s="1"/>
  <c r="AG37" i="1" s="1"/>
  <c r="AB38" i="1" a="1"/>
  <c r="AB38" i="1" s="1"/>
  <c r="AC38" i="1" s="1" a="1"/>
  <c r="AC38" i="1" s="1"/>
  <c r="AG38" i="1" s="1"/>
  <c r="AB39" i="1" a="1"/>
  <c r="AB39" i="1" s="1"/>
  <c r="AC39" i="1" s="1" a="1"/>
  <c r="AC39" i="1" s="1"/>
  <c r="AG39" i="1" s="1"/>
  <c r="AB40" i="1" a="1"/>
  <c r="AB40" i="1" s="1"/>
  <c r="AC40" i="1" s="1" a="1"/>
  <c r="AC40" i="1" s="1"/>
  <c r="AG40" i="1" s="1"/>
  <c r="AB41" i="1" a="1"/>
  <c r="AB41" i="1" s="1"/>
  <c r="AC41" i="1" s="1" a="1"/>
  <c r="AC41" i="1" s="1"/>
  <c r="AG41" i="1" s="1"/>
  <c r="AB3" i="1" a="1"/>
  <c r="AB3" i="1" s="1"/>
  <c r="AF3" i="1" s="1"/>
  <c r="AB4" i="1" a="1"/>
  <c r="AB4" i="1" s="1"/>
  <c r="AB5" i="1" a="1"/>
  <c r="AB5" i="1" s="1"/>
  <c r="AF5" i="1" s="1"/>
  <c r="AB6" i="1" a="1"/>
  <c r="AB6" i="1" s="1"/>
  <c r="AF6" i="1" s="1"/>
  <c r="AB7" i="1" a="1"/>
  <c r="AB7" i="1" s="1"/>
  <c r="AF7" i="1" s="1"/>
  <c r="AB8" i="1" a="1"/>
  <c r="AB8" i="1" s="1"/>
  <c r="AF8" i="1" s="1"/>
  <c r="AB9" i="1" a="1"/>
  <c r="AB9" i="1" s="1"/>
  <c r="AF9" i="1" s="1"/>
  <c r="AB10" i="1" a="1"/>
  <c r="AB10" i="1" s="1"/>
  <c r="AC10" i="1" s="1" a="1"/>
  <c r="AC10" i="1" s="1"/>
  <c r="AG10" i="1" s="1"/>
  <c r="AB11" i="1" a="1"/>
  <c r="AB11" i="1" s="1"/>
  <c r="AC11" i="1" s="1" a="1"/>
  <c r="AC11" i="1" s="1"/>
  <c r="AG11" i="1" s="1"/>
  <c r="AB12" i="1" a="1"/>
  <c r="AB12" i="1" s="1"/>
  <c r="AF12" i="1" s="1"/>
  <c r="AB13" i="1" a="1"/>
  <c r="AB13" i="1" s="1"/>
  <c r="AF13" i="1" s="1"/>
  <c r="AB2" i="1" a="1"/>
  <c r="AB2" i="1" s="1"/>
  <c r="AF2" i="1" s="1"/>
  <c r="V31" i="8" l="1"/>
  <c r="F31" i="8"/>
  <c r="S31" i="8"/>
  <c r="Q31" i="8"/>
  <c r="R31" i="8"/>
  <c r="J31" i="8"/>
  <c r="I31" i="8"/>
  <c r="D31" i="8"/>
  <c r="M31" i="8"/>
  <c r="T31" i="8"/>
  <c r="L31" i="8"/>
  <c r="K31" i="8"/>
  <c r="P31" i="8"/>
  <c r="H31" i="8"/>
  <c r="O31" i="8"/>
  <c r="G31" i="8"/>
  <c r="E31" i="8"/>
  <c r="N31" i="8"/>
  <c r="W19" i="8" a="1"/>
  <c r="W19" i="8" s="1"/>
  <c r="W18" i="8" a="1"/>
  <c r="W18" i="8" s="1"/>
  <c r="W7" i="8" a="1"/>
  <c r="W7" i="8" s="1"/>
  <c r="W14" i="8" a="1"/>
  <c r="W14" i="8" s="1"/>
  <c r="W8" i="8" a="1"/>
  <c r="W8" i="8" s="1"/>
  <c r="W16" i="8" a="1"/>
  <c r="W16" i="8" s="1"/>
  <c r="W17" i="8" a="1"/>
  <c r="W17" i="8" s="1"/>
  <c r="W3" i="8" a="1"/>
  <c r="W3" i="8" s="1"/>
  <c r="W11" i="8" a="1"/>
  <c r="W11" i="8" s="1"/>
  <c r="W12" i="8" a="1"/>
  <c r="W12" i="8" s="1"/>
  <c r="W5" i="8" a="1"/>
  <c r="W5" i="8" s="1"/>
  <c r="W38" i="8" a="1"/>
  <c r="W38" i="8" s="1"/>
  <c r="W15" i="8" a="1"/>
  <c r="W15" i="8" s="1"/>
  <c r="W9" i="8" a="1"/>
  <c r="W9" i="8" s="1"/>
  <c r="W2" i="8" a="1"/>
  <c r="W2" i="8" s="1"/>
  <c r="W10" i="8" a="1"/>
  <c r="W10" i="8" s="1"/>
  <c r="W40" i="8" a="1"/>
  <c r="W40" i="8" s="1"/>
  <c r="W4" i="8" a="1"/>
  <c r="W4" i="8" s="1"/>
  <c r="W6" i="8" a="1"/>
  <c r="W6" i="8" s="1"/>
  <c r="W13" i="8" a="1"/>
  <c r="W13" i="8" s="1"/>
  <c r="G70" i="6"/>
  <c r="O70" i="6"/>
  <c r="W70" i="6"/>
  <c r="Q57" i="6"/>
  <c r="Q68" i="6" s="1"/>
  <c r="H70" i="6"/>
  <c r="P70" i="6"/>
  <c r="X70" i="6"/>
  <c r="J57" i="6"/>
  <c r="J68" i="6" s="1"/>
  <c r="I70" i="6"/>
  <c r="Q70" i="6"/>
  <c r="Y70" i="6"/>
  <c r="I57" i="6"/>
  <c r="I68" i="6" s="1"/>
  <c r="J71" i="6"/>
  <c r="R71" i="6"/>
  <c r="Z71" i="6"/>
  <c r="Y71" i="6"/>
  <c r="Q71" i="6"/>
  <c r="L57" i="6"/>
  <c r="T57" i="6"/>
  <c r="Z57" i="6"/>
  <c r="I71" i="6"/>
  <c r="M57" i="6"/>
  <c r="U57" i="6"/>
  <c r="Y57" i="6"/>
  <c r="U70" i="6"/>
  <c r="F57" i="6"/>
  <c r="N57" i="6"/>
  <c r="V57" i="6"/>
  <c r="V64" i="6" s="1"/>
  <c r="H71" i="6"/>
  <c r="P71" i="6"/>
  <c r="X71" i="6"/>
  <c r="R57" i="6"/>
  <c r="V70" i="6"/>
  <c r="N70" i="6"/>
  <c r="X57" i="6"/>
  <c r="P57" i="6"/>
  <c r="H57" i="6"/>
  <c r="W71" i="6"/>
  <c r="O71" i="6"/>
  <c r="G71" i="6"/>
  <c r="T70" i="6"/>
  <c r="L70" i="6"/>
  <c r="W57" i="6"/>
  <c r="O57" i="6"/>
  <c r="G57" i="6"/>
  <c r="V71" i="6"/>
  <c r="N71" i="6"/>
  <c r="AA70" i="6"/>
  <c r="S70" i="6"/>
  <c r="K70" i="6"/>
  <c r="F70" i="6"/>
  <c r="U71" i="6"/>
  <c r="M71" i="6"/>
  <c r="Z70" i="6"/>
  <c r="R70" i="6"/>
  <c r="J70" i="6"/>
  <c r="F71" i="6"/>
  <c r="T71" i="6"/>
  <c r="L71" i="6"/>
  <c r="AA71" i="6"/>
  <c r="S71" i="6"/>
  <c r="K71" i="6"/>
  <c r="F60" i="6"/>
  <c r="F64" i="6" s="1"/>
  <c r="N60" i="6"/>
  <c r="N64" i="6" s="1"/>
  <c r="V60" i="6"/>
  <c r="AC27" i="6" a="1"/>
  <c r="AC27" i="6" s="1"/>
  <c r="AG27" i="6" s="1"/>
  <c r="AF27" i="6"/>
  <c r="I60" i="6"/>
  <c r="AF20" i="6"/>
  <c r="J60" i="6"/>
  <c r="R60" i="6"/>
  <c r="Z60" i="6"/>
  <c r="Z68" i="6" s="1"/>
  <c r="AC30" i="6" a="1"/>
  <c r="AC30" i="6" s="1"/>
  <c r="AG30" i="6" s="1"/>
  <c r="AF30" i="6"/>
  <c r="AF37" i="6"/>
  <c r="AC37" i="6" a="1"/>
  <c r="AC37" i="6" s="1"/>
  <c r="AG37" i="6" s="1"/>
  <c r="Q74" i="6"/>
  <c r="Q60" i="6"/>
  <c r="Y74" i="6"/>
  <c r="Y60" i="6"/>
  <c r="AF26" i="6"/>
  <c r="AC26" i="6" a="1"/>
  <c r="AC26" i="6" s="1"/>
  <c r="AG26" i="6" s="1"/>
  <c r="AC13" i="6" a="1"/>
  <c r="AC13" i="6" s="1"/>
  <c r="AG13" i="6" s="1"/>
  <c r="AF13" i="6"/>
  <c r="AF2" i="6"/>
  <c r="AC2" i="6" a="1"/>
  <c r="AC2" i="6" s="1"/>
  <c r="AG2" i="6" s="1"/>
  <c r="AF22" i="6"/>
  <c r="AC22" i="6" a="1"/>
  <c r="AC22" i="6" s="1"/>
  <c r="AG22" i="6" s="1"/>
  <c r="AC42" i="6" a="1"/>
  <c r="AC42" i="6" s="1"/>
  <c r="AG42" i="6" s="1"/>
  <c r="AF42" i="6"/>
  <c r="AF19" i="6"/>
  <c r="AC19" i="6" a="1"/>
  <c r="AC19" i="6" s="1"/>
  <c r="AG19" i="6" s="1"/>
  <c r="AC45" i="6" a="1"/>
  <c r="AC45" i="6" s="1"/>
  <c r="AG45" i="6" s="1"/>
  <c r="AF45" i="6"/>
  <c r="AF9" i="6"/>
  <c r="AC9" i="6" a="1"/>
  <c r="AC9" i="6" s="1"/>
  <c r="AG9" i="6" s="1"/>
  <c r="AC39" i="6" a="1"/>
  <c r="AC39" i="6" s="1"/>
  <c r="AG39" i="6" s="1"/>
  <c r="AC53" i="6" a="1"/>
  <c r="AC53" i="6" s="1"/>
  <c r="AG53" i="6" s="1"/>
  <c r="T60" i="6"/>
  <c r="AC48" i="6" a="1"/>
  <c r="AC48" i="6" s="1"/>
  <c r="AG48" i="6" s="1"/>
  <c r="AC5" i="6" a="1"/>
  <c r="AC5" i="6" s="1"/>
  <c r="AG5" i="6" s="1"/>
  <c r="AC16" i="6" a="1"/>
  <c r="AC16" i="6" s="1"/>
  <c r="AG16" i="6" s="1"/>
  <c r="AC32" i="6" a="1"/>
  <c r="AC32" i="6" s="1"/>
  <c r="AG32" i="6" s="1"/>
  <c r="AC41" i="6" a="1"/>
  <c r="AC41" i="6" s="1"/>
  <c r="AG41" i="6" s="1"/>
  <c r="AC44" i="6" a="1"/>
  <c r="AC44" i="6" s="1"/>
  <c r="AG44" i="6" s="1"/>
  <c r="AC46" i="6" a="1"/>
  <c r="AC46" i="6" s="1"/>
  <c r="AG46" i="6" s="1"/>
  <c r="L60" i="6"/>
  <c r="AC49" i="6" a="1"/>
  <c r="AC49" i="6" s="1"/>
  <c r="AG49" i="6" s="1"/>
  <c r="AF15" i="6"/>
  <c r="AC15" i="6" a="1"/>
  <c r="AC15" i="6" s="1"/>
  <c r="AG15" i="6" s="1"/>
  <c r="AC25" i="6" a="1"/>
  <c r="AC25" i="6" s="1"/>
  <c r="AG25" i="6" s="1"/>
  <c r="AF25" i="6"/>
  <c r="AC31" i="6" a="1"/>
  <c r="AC31" i="6" s="1"/>
  <c r="AG31" i="6" s="1"/>
  <c r="AF31" i="6"/>
  <c r="AF36" i="6"/>
  <c r="AC36" i="6" a="1"/>
  <c r="AC36" i="6" s="1"/>
  <c r="AG36" i="6" s="1"/>
  <c r="AF11" i="6"/>
  <c r="AC11" i="6" a="1"/>
  <c r="AC11" i="6" s="1"/>
  <c r="AG11" i="6" s="1"/>
  <c r="AC17" i="6" a="1"/>
  <c r="AC17" i="6" s="1"/>
  <c r="AG17" i="6" s="1"/>
  <c r="AF17" i="6"/>
  <c r="AC40" i="6" a="1"/>
  <c r="AC40" i="6" s="1"/>
  <c r="AG40" i="6" s="1"/>
  <c r="AF40" i="6"/>
  <c r="AF18" i="6"/>
  <c r="AC18" i="6" a="1"/>
  <c r="AC18" i="6" s="1"/>
  <c r="AG18" i="6" s="1"/>
  <c r="AC38" i="6" a="1"/>
  <c r="AC38" i="6" s="1"/>
  <c r="AG38" i="6" s="1"/>
  <c r="AF38" i="6"/>
  <c r="AF3" i="6"/>
  <c r="AC3" i="6" a="1"/>
  <c r="AC3" i="6" s="1"/>
  <c r="AG3" i="6" s="1"/>
  <c r="AC6" i="6" a="1"/>
  <c r="AC6" i="6" s="1"/>
  <c r="AG6" i="6" s="1"/>
  <c r="AF6" i="6"/>
  <c r="AF47" i="6"/>
  <c r="AC47" i="6" a="1"/>
  <c r="AC47" i="6" s="1"/>
  <c r="AG47" i="6" s="1"/>
  <c r="AC14" i="6" a="1"/>
  <c r="AC14" i="6" s="1"/>
  <c r="AG14" i="6" s="1"/>
  <c r="AF14" i="6"/>
  <c r="AF21" i="6"/>
  <c r="AC21" i="6" a="1"/>
  <c r="AC21" i="6" s="1"/>
  <c r="AG21" i="6" s="1"/>
  <c r="AF7" i="6"/>
  <c r="AC7" i="6" a="1"/>
  <c r="AC7" i="6" s="1"/>
  <c r="AG7" i="6" s="1"/>
  <c r="AC10" i="6" a="1"/>
  <c r="AC10" i="6" s="1"/>
  <c r="AG10" i="6" s="1"/>
  <c r="AF10" i="6"/>
  <c r="AC23" i="6" a="1"/>
  <c r="AC23" i="6" s="1"/>
  <c r="AG23" i="6" s="1"/>
  <c r="AF23" i="6"/>
  <c r="AF51" i="6"/>
  <c r="AC51" i="6" a="1"/>
  <c r="AC51" i="6" s="1"/>
  <c r="AG51" i="6" s="1"/>
  <c r="L74" i="6"/>
  <c r="G60" i="6"/>
  <c r="G74" i="6"/>
  <c r="W60" i="6"/>
  <c r="W74" i="6"/>
  <c r="T74" i="6"/>
  <c r="AC4" i="6" a="1"/>
  <c r="AC4" i="6" s="1"/>
  <c r="AG4" i="6" s="1"/>
  <c r="H60" i="6"/>
  <c r="H74" i="6"/>
  <c r="M74" i="6"/>
  <c r="M60" i="6"/>
  <c r="X60" i="6"/>
  <c r="X74" i="6"/>
  <c r="AF29" i="6"/>
  <c r="AF52" i="6"/>
  <c r="AC52" i="6" a="1"/>
  <c r="AC52" i="6" s="1"/>
  <c r="AG52" i="6" s="1"/>
  <c r="S74" i="6"/>
  <c r="S60" i="6"/>
  <c r="AF8" i="6"/>
  <c r="AF12" i="6"/>
  <c r="I74" i="6"/>
  <c r="AC28" i="6" a="1"/>
  <c r="AC28" i="6" s="1"/>
  <c r="AG28" i="6" s="1"/>
  <c r="AC33" i="6" a="1"/>
  <c r="AC33" i="6" s="1"/>
  <c r="AG33" i="6" s="1"/>
  <c r="AC43" i="6" a="1"/>
  <c r="AC43" i="6" s="1"/>
  <c r="AG43" i="6" s="1"/>
  <c r="O60" i="6"/>
  <c r="O74" i="6"/>
  <c r="AC24" i="6" a="1"/>
  <c r="AC24" i="6" s="1"/>
  <c r="AG24" i="6" s="1"/>
  <c r="AF50" i="6"/>
  <c r="P60" i="6"/>
  <c r="P74" i="6"/>
  <c r="U74" i="6"/>
  <c r="U60" i="6"/>
  <c r="K74" i="6"/>
  <c r="K60" i="6"/>
  <c r="AA74" i="6"/>
  <c r="AA60" i="6"/>
  <c r="F74" i="6"/>
  <c r="N74" i="6"/>
  <c r="V74" i="6"/>
  <c r="J74" i="6"/>
  <c r="R74" i="6"/>
  <c r="Z74" i="6"/>
  <c r="AC86" i="1"/>
  <c r="AC85" i="1"/>
  <c r="H113" i="1"/>
  <c r="AF13" i="4"/>
  <c r="AC13" i="4" a="1"/>
  <c r="AC13" i="4" s="1"/>
  <c r="AG13" i="4" s="1"/>
  <c r="AF12" i="4"/>
  <c r="AC12" i="4" a="1"/>
  <c r="AC12" i="4" s="1"/>
  <c r="AG12" i="4" s="1"/>
  <c r="AF28" i="4"/>
  <c r="AC28" i="4" a="1"/>
  <c r="AC28" i="4" s="1"/>
  <c r="AG28" i="4" s="1"/>
  <c r="K74" i="4"/>
  <c r="K75" i="4"/>
  <c r="K61" i="4"/>
  <c r="S74" i="4"/>
  <c r="S75" i="4"/>
  <c r="S61" i="4"/>
  <c r="AA74" i="4"/>
  <c r="AA75" i="4"/>
  <c r="AA61" i="4"/>
  <c r="M64" i="4"/>
  <c r="M78" i="4"/>
  <c r="U64" i="4"/>
  <c r="U78" i="4"/>
  <c r="P78" i="4"/>
  <c r="P64" i="4"/>
  <c r="G74" i="4"/>
  <c r="G75" i="4"/>
  <c r="G61" i="4"/>
  <c r="O64" i="4"/>
  <c r="O78" i="4"/>
  <c r="F74" i="4"/>
  <c r="F75" i="4"/>
  <c r="F61" i="4"/>
  <c r="N74" i="4"/>
  <c r="N75" i="4"/>
  <c r="N61" i="4"/>
  <c r="V74" i="4"/>
  <c r="V75" i="4"/>
  <c r="V61" i="4"/>
  <c r="H78" i="4"/>
  <c r="H64" i="4"/>
  <c r="X78" i="4"/>
  <c r="X64" i="4"/>
  <c r="AF4" i="4"/>
  <c r="AC4" i="4" a="1"/>
  <c r="AC4" i="4" s="1"/>
  <c r="AG4" i="4" s="1"/>
  <c r="AF20" i="4"/>
  <c r="AC20" i="4" a="1"/>
  <c r="AC20" i="4" s="1"/>
  <c r="AG20" i="4" s="1"/>
  <c r="O74" i="4"/>
  <c r="O75" i="4"/>
  <c r="O61" i="4"/>
  <c r="W74" i="4"/>
  <c r="W75" i="4"/>
  <c r="W61" i="4"/>
  <c r="I78" i="4"/>
  <c r="I64" i="4"/>
  <c r="Q78" i="4"/>
  <c r="Q64" i="4"/>
  <c r="Y78" i="4"/>
  <c r="Y64" i="4"/>
  <c r="AF5" i="4"/>
  <c r="AC5" i="4" a="1"/>
  <c r="AC5" i="4" s="1"/>
  <c r="AG5" i="4" s="1"/>
  <c r="AF21" i="4"/>
  <c r="AC21" i="4" a="1"/>
  <c r="AC21" i="4" s="1"/>
  <c r="AG21" i="4" s="1"/>
  <c r="H74" i="4"/>
  <c r="H75" i="4"/>
  <c r="H61" i="4"/>
  <c r="P74" i="4"/>
  <c r="P75" i="4"/>
  <c r="P61" i="4"/>
  <c r="X74" i="4"/>
  <c r="X75" i="4"/>
  <c r="X61" i="4"/>
  <c r="J78" i="4"/>
  <c r="J64" i="4"/>
  <c r="R78" i="4"/>
  <c r="R64" i="4"/>
  <c r="Z78" i="4"/>
  <c r="Z64" i="4"/>
  <c r="AF16" i="4"/>
  <c r="AC16" i="4" a="1"/>
  <c r="AC16" i="4" s="1"/>
  <c r="AG16" i="4" s="1"/>
  <c r="AF32" i="4"/>
  <c r="AC32" i="4" a="1"/>
  <c r="AC32" i="4" s="1"/>
  <c r="AG32" i="4" s="1"/>
  <c r="I75" i="4"/>
  <c r="I61" i="4"/>
  <c r="I74" i="4"/>
  <c r="Q75" i="4"/>
  <c r="Q61" i="4"/>
  <c r="Q74" i="4"/>
  <c r="Y75" i="4"/>
  <c r="Y61" i="4"/>
  <c r="Y74" i="4"/>
  <c r="K64" i="4"/>
  <c r="K78" i="4"/>
  <c r="S64" i="4"/>
  <c r="S78" i="4"/>
  <c r="AA64" i="4"/>
  <c r="AA78" i="4"/>
  <c r="AF29" i="4"/>
  <c r="AC29" i="4" a="1"/>
  <c r="AC29" i="4" s="1"/>
  <c r="AG29" i="4" s="1"/>
  <c r="L74" i="4"/>
  <c r="L75" i="4"/>
  <c r="L61" i="4"/>
  <c r="T74" i="4"/>
  <c r="T75" i="4"/>
  <c r="T61" i="4"/>
  <c r="F64" i="4"/>
  <c r="F78" i="4"/>
  <c r="N64" i="4"/>
  <c r="N78" i="4"/>
  <c r="V64" i="4"/>
  <c r="V78" i="4"/>
  <c r="AF8" i="4"/>
  <c r="AC8" i="4" a="1"/>
  <c r="AC8" i="4" s="1"/>
  <c r="AG8" i="4" s="1"/>
  <c r="AF24" i="4"/>
  <c r="AC24" i="4" a="1"/>
  <c r="AC24" i="4" s="1"/>
  <c r="AG24" i="4" s="1"/>
  <c r="M74" i="4"/>
  <c r="M75" i="4"/>
  <c r="M61" i="4"/>
  <c r="U74" i="4"/>
  <c r="U75" i="4"/>
  <c r="U61" i="4"/>
  <c r="G64" i="4"/>
  <c r="G78" i="4"/>
  <c r="W64" i="4"/>
  <c r="W78" i="4"/>
  <c r="AF9" i="4"/>
  <c r="AC9" i="4" a="1"/>
  <c r="AC9" i="4" s="1"/>
  <c r="AG9" i="4" s="1"/>
  <c r="AF25" i="4"/>
  <c r="AC25" i="4" a="1"/>
  <c r="AC25" i="4" s="1"/>
  <c r="AG25" i="4" s="1"/>
  <c r="AF17" i="4"/>
  <c r="AC17" i="4" a="1"/>
  <c r="AC17" i="4" s="1"/>
  <c r="AG17" i="4" s="1"/>
  <c r="J74" i="4"/>
  <c r="J61" i="4"/>
  <c r="J75" i="4"/>
  <c r="R74" i="4"/>
  <c r="R75" i="4"/>
  <c r="R61" i="4"/>
  <c r="Z61" i="4"/>
  <c r="Z74" i="4"/>
  <c r="Z75" i="4"/>
  <c r="L64" i="4"/>
  <c r="L78" i="4"/>
  <c r="T64" i="4"/>
  <c r="T78" i="4"/>
  <c r="AC2" i="4" a="1"/>
  <c r="AC2" i="4" s="1"/>
  <c r="AG2" i="4" s="1"/>
  <c r="AF3" i="4"/>
  <c r="AC10" i="4" a="1"/>
  <c r="AC10" i="4" s="1"/>
  <c r="AG10" i="4" s="1"/>
  <c r="AF11" i="4"/>
  <c r="AF15" i="4"/>
  <c r="AC18" i="4" a="1"/>
  <c r="AC18" i="4" s="1"/>
  <c r="AG18" i="4" s="1"/>
  <c r="AC22" i="4" a="1"/>
  <c r="AC22" i="4" s="1"/>
  <c r="AG22" i="4" s="1"/>
  <c r="AF23" i="4"/>
  <c r="AC26" i="4" a="1"/>
  <c r="AC26" i="4" s="1"/>
  <c r="AG26" i="4" s="1"/>
  <c r="AF27" i="4"/>
  <c r="AC30" i="4" a="1"/>
  <c r="AC30" i="4" s="1"/>
  <c r="AG30" i="4" s="1"/>
  <c r="AF31" i="4"/>
  <c r="AC34" i="4" a="1"/>
  <c r="AC34" i="4" s="1"/>
  <c r="AG34" i="4" s="1"/>
  <c r="AC37" i="4" a="1"/>
  <c r="AC37" i="4" s="1"/>
  <c r="AG37" i="4" s="1"/>
  <c r="AF38" i="4"/>
  <c r="AC41" i="4" a="1"/>
  <c r="AC41" i="4" s="1"/>
  <c r="AG41" i="4" s="1"/>
  <c r="AF42" i="4"/>
  <c r="AC45" i="4" a="1"/>
  <c r="AC45" i="4" s="1"/>
  <c r="AG45" i="4" s="1"/>
  <c r="AF46" i="4"/>
  <c r="AC49" i="4" a="1"/>
  <c r="AC49" i="4" s="1"/>
  <c r="AG49" i="4" s="1"/>
  <c r="AF50" i="4"/>
  <c r="AC53" i="4" a="1"/>
  <c r="AC53" i="4" s="1"/>
  <c r="AG53" i="4" s="1"/>
  <c r="AF54" i="4"/>
  <c r="AC57" i="4" a="1"/>
  <c r="AC57" i="4" s="1"/>
  <c r="AG57" i="4" s="1"/>
  <c r="AC6" i="4" a="1"/>
  <c r="AC6" i="4" s="1"/>
  <c r="AG6" i="4" s="1"/>
  <c r="AF7" i="4"/>
  <c r="AC14" i="4" a="1"/>
  <c r="AC14" i="4" s="1"/>
  <c r="AG14" i="4" s="1"/>
  <c r="AF19" i="4"/>
  <c r="AC33" i="4" a="1"/>
  <c r="AC33" i="4" s="1"/>
  <c r="AG33" i="4" s="1"/>
  <c r="AC40" i="4" a="1"/>
  <c r="AC40" i="4" s="1"/>
  <c r="AG40" i="4" s="1"/>
  <c r="AC44" i="4" a="1"/>
  <c r="AC44" i="4" s="1"/>
  <c r="AG44" i="4" s="1"/>
  <c r="AC48" i="4" a="1"/>
  <c r="AC48" i="4" s="1"/>
  <c r="AG48" i="4" s="1"/>
  <c r="AC52" i="4" a="1"/>
  <c r="AC52" i="4" s="1"/>
  <c r="AG52" i="4" s="1"/>
  <c r="AC56" i="4" a="1"/>
  <c r="AC56" i="4" s="1"/>
  <c r="AG56" i="4" s="1"/>
  <c r="AC43" i="4" a="1"/>
  <c r="AC43" i="4" s="1"/>
  <c r="AG43" i="4" s="1"/>
  <c r="AC47" i="4" a="1"/>
  <c r="AC47" i="4" s="1"/>
  <c r="AG47" i="4" s="1"/>
  <c r="AC51" i="4" a="1"/>
  <c r="AC51" i="4" s="1"/>
  <c r="AG51" i="4" s="1"/>
  <c r="AC55" i="4" a="1"/>
  <c r="AC55" i="4" s="1"/>
  <c r="AG55" i="4" s="1"/>
  <c r="G68" i="1"/>
  <c r="U68" i="1"/>
  <c r="M68" i="1"/>
  <c r="W75" i="1"/>
  <c r="O75" i="1"/>
  <c r="G75" i="1"/>
  <c r="AC78" i="1"/>
  <c r="AA64" i="1"/>
  <c r="S64" i="1"/>
  <c r="K64" i="1"/>
  <c r="AF55" i="1"/>
  <c r="AF51" i="1"/>
  <c r="AF47" i="1"/>
  <c r="AF43" i="1"/>
  <c r="AF39" i="1"/>
  <c r="V75" i="1"/>
  <c r="N75" i="1"/>
  <c r="U75" i="1"/>
  <c r="M75" i="1"/>
  <c r="Y64" i="1"/>
  <c r="Q64" i="1"/>
  <c r="I64" i="1"/>
  <c r="AF54" i="1"/>
  <c r="AF50" i="1"/>
  <c r="AF46" i="1"/>
  <c r="AF42" i="1"/>
  <c r="AF38" i="1"/>
  <c r="F75" i="1"/>
  <c r="T75" i="1"/>
  <c r="L75" i="1"/>
  <c r="X64" i="1"/>
  <c r="P64" i="1"/>
  <c r="H64" i="1"/>
  <c r="S75" i="1"/>
  <c r="K75" i="1"/>
  <c r="W64" i="1"/>
  <c r="O64" i="1"/>
  <c r="AF57" i="1"/>
  <c r="AF53" i="1"/>
  <c r="AF49" i="1"/>
  <c r="AF45" i="1"/>
  <c r="AF41" i="1"/>
  <c r="AF37" i="1"/>
  <c r="Z75" i="1"/>
  <c r="R75" i="1"/>
  <c r="J75" i="1"/>
  <c r="V64" i="1"/>
  <c r="N64" i="1"/>
  <c r="F68" i="1"/>
  <c r="T68" i="1"/>
  <c r="L68" i="1"/>
  <c r="R32" i="3"/>
  <c r="Y75" i="1"/>
  <c r="Q75" i="1"/>
  <c r="I75" i="1"/>
  <c r="AF56" i="1"/>
  <c r="AF52" i="1"/>
  <c r="AF48" i="1"/>
  <c r="AF44" i="1"/>
  <c r="AF40" i="1"/>
  <c r="X75" i="1"/>
  <c r="P75" i="1"/>
  <c r="H75" i="1"/>
  <c r="AC75" i="1" s="1"/>
  <c r="G24" i="3"/>
  <c r="O24" i="3"/>
  <c r="W24" i="3"/>
  <c r="H24" i="3"/>
  <c r="P24" i="3"/>
  <c r="X24" i="3"/>
  <c r="N24" i="3"/>
  <c r="V24" i="3"/>
  <c r="K24" i="3"/>
  <c r="S24" i="3"/>
  <c r="AA24" i="3"/>
  <c r="L24" i="3"/>
  <c r="T24" i="3"/>
  <c r="M24" i="3"/>
  <c r="U24" i="3"/>
  <c r="Q24" i="3"/>
  <c r="Y24" i="3"/>
  <c r="I24" i="3"/>
  <c r="AF17" i="3"/>
  <c r="AC17" i="3" a="1"/>
  <c r="AC17" i="3" s="1"/>
  <c r="AG17" i="3" s="1"/>
  <c r="AF14" i="3"/>
  <c r="AC14" i="3" a="1"/>
  <c r="AC14" i="3" s="1"/>
  <c r="AG14" i="3" s="1"/>
  <c r="AC10" i="3" a="1"/>
  <c r="AC10" i="3" s="1"/>
  <c r="AG10" i="3" s="1"/>
  <c r="AF10" i="3"/>
  <c r="AF12" i="3"/>
  <c r="AC12" i="3" a="1"/>
  <c r="AC12" i="3" s="1"/>
  <c r="AG12" i="3" s="1"/>
  <c r="J24" i="3"/>
  <c r="F24" i="3"/>
  <c r="Z24" i="3"/>
  <c r="AC8" i="3" a="1"/>
  <c r="AC8" i="3" s="1"/>
  <c r="AG8" i="3" s="1"/>
  <c r="AF8" i="3"/>
  <c r="AF11" i="3"/>
  <c r="AC11" i="3" a="1"/>
  <c r="AC11" i="3" s="1"/>
  <c r="AG11" i="3" s="1"/>
  <c r="AF13" i="3"/>
  <c r="AC13" i="3" a="1"/>
  <c r="AC13" i="3" s="1"/>
  <c r="AG13" i="3" s="1"/>
  <c r="AF9" i="3"/>
  <c r="AC9" i="3" a="1"/>
  <c r="AC9" i="3" s="1"/>
  <c r="AG9" i="3" s="1"/>
  <c r="AC2" i="3" a="1"/>
  <c r="AC2" i="3" s="1"/>
  <c r="AG2" i="3" s="1"/>
  <c r="AF2" i="3"/>
  <c r="AF3" i="3"/>
  <c r="AC3" i="3" a="1"/>
  <c r="AC3" i="3" s="1"/>
  <c r="AG3" i="3" s="1"/>
  <c r="AF4" i="3"/>
  <c r="AC4" i="3" a="1"/>
  <c r="AC4" i="3" s="1"/>
  <c r="AG4" i="3" s="1"/>
  <c r="AC5" i="3" a="1"/>
  <c r="AC5" i="3" s="1"/>
  <c r="AG5" i="3" s="1"/>
  <c r="AF5" i="3"/>
  <c r="AC15" i="3" a="1"/>
  <c r="AC15" i="3" s="1"/>
  <c r="AG15" i="3" s="1"/>
  <c r="AF15" i="3"/>
  <c r="AF6" i="3"/>
  <c r="AC6" i="3" a="1"/>
  <c r="AC6" i="3" s="1"/>
  <c r="AG6" i="3" s="1"/>
  <c r="AF16" i="3"/>
  <c r="AC16" i="3" a="1"/>
  <c r="AC16" i="3" s="1"/>
  <c r="AG16" i="3" s="1"/>
  <c r="AC7" i="3" a="1"/>
  <c r="AC7" i="3" s="1"/>
  <c r="AG7" i="3" s="1"/>
  <c r="AF7" i="3"/>
  <c r="AC2" i="1" a="1"/>
  <c r="AC2" i="1" s="1"/>
  <c r="AG2" i="1" s="1"/>
  <c r="AC7" i="1" a="1"/>
  <c r="AC7" i="1" s="1"/>
  <c r="AG7" i="1" s="1"/>
  <c r="AC14" i="1" a="1"/>
  <c r="AC14" i="1" s="1"/>
  <c r="AG14" i="1" s="1"/>
  <c r="AF32" i="1"/>
  <c r="AF29" i="1"/>
  <c r="AF24" i="1"/>
  <c r="AF16" i="1"/>
  <c r="AF19" i="1"/>
  <c r="AC13" i="1" a="1"/>
  <c r="AC13" i="1" s="1"/>
  <c r="AG13" i="1" s="1"/>
  <c r="AC6" i="1" a="1"/>
  <c r="AC6" i="1" s="1"/>
  <c r="AG6" i="1" s="1"/>
  <c r="AC5" i="1" a="1"/>
  <c r="AC5" i="1" s="1"/>
  <c r="AG5" i="1" s="1"/>
  <c r="AF28" i="1"/>
  <c r="AF23" i="1"/>
  <c r="AF15" i="1"/>
  <c r="AF11" i="1"/>
  <c r="AC12" i="1" a="1"/>
  <c r="AC12" i="1" s="1"/>
  <c r="AG12" i="1" s="1"/>
  <c r="AC3" i="1" a="1"/>
  <c r="AC3" i="1" s="1"/>
  <c r="AG3" i="1" s="1"/>
  <c r="AF31" i="1"/>
  <c r="AF26" i="1"/>
  <c r="AF22" i="1"/>
  <c r="AF18" i="1"/>
  <c r="AF10" i="1"/>
  <c r="AC9" i="1" a="1"/>
  <c r="AC9" i="1" s="1"/>
  <c r="AG9" i="1" s="1"/>
  <c r="AF34" i="1"/>
  <c r="AF30" i="1"/>
  <c r="AF25" i="1"/>
  <c r="AF21" i="1"/>
  <c r="AF17" i="1"/>
  <c r="AC8" i="1" a="1"/>
  <c r="AC8" i="1" s="1"/>
  <c r="AG8" i="1" s="1"/>
  <c r="AF33" i="1"/>
  <c r="AF20" i="1"/>
  <c r="AF4" i="1"/>
  <c r="AC4" i="1" a="1"/>
  <c r="AC4" i="1" s="1"/>
  <c r="AG4" i="1" s="1"/>
  <c r="AF27" i="1"/>
  <c r="W31" i="8" l="1"/>
  <c r="X19" i="8"/>
  <c r="X18" i="8"/>
  <c r="X16" i="8"/>
  <c r="X40" i="8"/>
  <c r="X15" i="8"/>
  <c r="X14" i="8"/>
  <c r="X17" i="8"/>
  <c r="X2" i="8"/>
  <c r="X11" i="8"/>
  <c r="X10" i="8"/>
  <c r="X9" i="8"/>
  <c r="X8" i="8"/>
  <c r="X7" i="8"/>
  <c r="X5" i="8"/>
  <c r="X4" i="8"/>
  <c r="X6" i="8"/>
  <c r="X3" i="8"/>
  <c r="X12" i="8"/>
  <c r="X38" i="8"/>
  <c r="X13" i="8"/>
  <c r="R68" i="6"/>
  <c r="J64" i="6"/>
  <c r="T64" i="6"/>
  <c r="N68" i="6"/>
  <c r="Q64" i="6"/>
  <c r="R64" i="6"/>
  <c r="Z64" i="6"/>
  <c r="Y64" i="6"/>
  <c r="T68" i="6"/>
  <c r="I64" i="6"/>
  <c r="F68" i="6"/>
  <c r="L64" i="6"/>
  <c r="AA64" i="6"/>
  <c r="AA68" i="6"/>
  <c r="M64" i="6"/>
  <c r="M68" i="6"/>
  <c r="Y68" i="6"/>
  <c r="X79" i="6"/>
  <c r="P79" i="6"/>
  <c r="H79" i="6"/>
  <c r="AC71" i="6"/>
  <c r="V79" i="6"/>
  <c r="N79" i="6"/>
  <c r="F79" i="6"/>
  <c r="U79" i="6"/>
  <c r="M79" i="6"/>
  <c r="T79" i="6"/>
  <c r="L79" i="6"/>
  <c r="AA79" i="6"/>
  <c r="S79" i="6"/>
  <c r="K79" i="6"/>
  <c r="Z79" i="6"/>
  <c r="R79" i="6"/>
  <c r="J79" i="6"/>
  <c r="Y79" i="6"/>
  <c r="Q79" i="6"/>
  <c r="I79" i="6"/>
  <c r="W79" i="6"/>
  <c r="O79" i="6"/>
  <c r="G79" i="6"/>
  <c r="S64" i="6"/>
  <c r="S68" i="6"/>
  <c r="P64" i="6"/>
  <c r="P68" i="6"/>
  <c r="K64" i="6"/>
  <c r="K68" i="6"/>
  <c r="F342" i="6"/>
  <c r="F334" i="6"/>
  <c r="F326" i="6"/>
  <c r="F318" i="6"/>
  <c r="F310" i="6"/>
  <c r="F302" i="6"/>
  <c r="F294" i="6"/>
  <c r="F286" i="6"/>
  <c r="F278" i="6"/>
  <c r="F270" i="6"/>
  <c r="F262" i="6"/>
  <c r="F254" i="6"/>
  <c r="F246" i="6"/>
  <c r="F238" i="6"/>
  <c r="F230" i="6"/>
  <c r="F222" i="6"/>
  <c r="F214" i="6"/>
  <c r="F206" i="6"/>
  <c r="F198" i="6"/>
  <c r="F190" i="6"/>
  <c r="F182" i="6"/>
  <c r="F174" i="6"/>
  <c r="F166" i="6"/>
  <c r="F158" i="6"/>
  <c r="F150" i="6"/>
  <c r="F142" i="6"/>
  <c r="F134" i="6"/>
  <c r="F126" i="6"/>
  <c r="F118" i="6"/>
  <c r="F110" i="6"/>
  <c r="V78" i="6"/>
  <c r="N78" i="6"/>
  <c r="F78" i="6"/>
  <c r="F341" i="6"/>
  <c r="F333" i="6"/>
  <c r="F325" i="6"/>
  <c r="F317" i="6"/>
  <c r="F309" i="6"/>
  <c r="F301" i="6"/>
  <c r="F293" i="6"/>
  <c r="F285" i="6"/>
  <c r="F277" i="6"/>
  <c r="F269" i="6"/>
  <c r="F261" i="6"/>
  <c r="F253" i="6"/>
  <c r="F245" i="6"/>
  <c r="F237" i="6"/>
  <c r="F229" i="6"/>
  <c r="F221" i="6"/>
  <c r="F213" i="6"/>
  <c r="F205" i="6"/>
  <c r="F197" i="6"/>
  <c r="F189" i="6"/>
  <c r="F181" i="6"/>
  <c r="F173" i="6"/>
  <c r="F165" i="6"/>
  <c r="F157" i="6"/>
  <c r="F149" i="6"/>
  <c r="F141" i="6"/>
  <c r="F133" i="6"/>
  <c r="F125" i="6"/>
  <c r="F117" i="6"/>
  <c r="F340" i="6"/>
  <c r="F332" i="6"/>
  <c r="F324" i="6"/>
  <c r="F316" i="6"/>
  <c r="F308" i="6"/>
  <c r="F300" i="6"/>
  <c r="F292" i="6"/>
  <c r="F284" i="6"/>
  <c r="F276" i="6"/>
  <c r="F268" i="6"/>
  <c r="F260" i="6"/>
  <c r="F252" i="6"/>
  <c r="F244" i="6"/>
  <c r="F236" i="6"/>
  <c r="F228" i="6"/>
  <c r="F220" i="6"/>
  <c r="F212" i="6"/>
  <c r="F204" i="6"/>
  <c r="F196" i="6"/>
  <c r="F188" i="6"/>
  <c r="F180" i="6"/>
  <c r="F172" i="6"/>
  <c r="F164" i="6"/>
  <c r="F156" i="6"/>
  <c r="F148" i="6"/>
  <c r="F140" i="6"/>
  <c r="F132" i="6"/>
  <c r="F124" i="6"/>
  <c r="F116" i="6"/>
  <c r="F109" i="6"/>
  <c r="T78" i="6"/>
  <c r="L78" i="6"/>
  <c r="F339" i="6"/>
  <c r="F331" i="6"/>
  <c r="F323" i="6"/>
  <c r="F315" i="6"/>
  <c r="F307" i="6"/>
  <c r="F299" i="6"/>
  <c r="F291" i="6"/>
  <c r="F283" i="6"/>
  <c r="F275" i="6"/>
  <c r="F267" i="6"/>
  <c r="F259" i="6"/>
  <c r="F251" i="6"/>
  <c r="F243" i="6"/>
  <c r="F235" i="6"/>
  <c r="F227" i="6"/>
  <c r="F219" i="6"/>
  <c r="F211" i="6"/>
  <c r="F203" i="6"/>
  <c r="F195" i="6"/>
  <c r="F187" i="6"/>
  <c r="F179" i="6"/>
  <c r="F171" i="6"/>
  <c r="F163" i="6"/>
  <c r="F155" i="6"/>
  <c r="F147" i="6"/>
  <c r="F139" i="6"/>
  <c r="F131" i="6"/>
  <c r="F123" i="6"/>
  <c r="F115" i="6"/>
  <c r="AA78" i="6"/>
  <c r="S78" i="6"/>
  <c r="K78" i="6"/>
  <c r="F338" i="6"/>
  <c r="F330" i="6"/>
  <c r="F322" i="6"/>
  <c r="F314" i="6"/>
  <c r="F306" i="6"/>
  <c r="F298" i="6"/>
  <c r="F290" i="6"/>
  <c r="F282" i="6"/>
  <c r="F274" i="6"/>
  <c r="F266" i="6"/>
  <c r="F258" i="6"/>
  <c r="F250" i="6"/>
  <c r="F242" i="6"/>
  <c r="F234" i="6"/>
  <c r="F226" i="6"/>
  <c r="F218" i="6"/>
  <c r="F210" i="6"/>
  <c r="F202" i="6"/>
  <c r="F194" i="6"/>
  <c r="F186" i="6"/>
  <c r="F178" i="6"/>
  <c r="F170" i="6"/>
  <c r="F162" i="6"/>
  <c r="F154" i="6"/>
  <c r="F146" i="6"/>
  <c r="F138" i="6"/>
  <c r="F130" i="6"/>
  <c r="F122" i="6"/>
  <c r="F114" i="6"/>
  <c r="Z78" i="6"/>
  <c r="R78" i="6"/>
  <c r="J78" i="6"/>
  <c r="F337" i="6"/>
  <c r="F329" i="6"/>
  <c r="F321" i="6"/>
  <c r="F313" i="6"/>
  <c r="F305" i="6"/>
  <c r="F297" i="6"/>
  <c r="F289" i="6"/>
  <c r="F281" i="6"/>
  <c r="F273" i="6"/>
  <c r="F265" i="6"/>
  <c r="F257" i="6"/>
  <c r="F249" i="6"/>
  <c r="F241" i="6"/>
  <c r="F233" i="6"/>
  <c r="F225" i="6"/>
  <c r="F217" i="6"/>
  <c r="F209" i="6"/>
  <c r="F201" i="6"/>
  <c r="F193" i="6"/>
  <c r="F185" i="6"/>
  <c r="F177" i="6"/>
  <c r="F169" i="6"/>
  <c r="F161" i="6"/>
  <c r="F153" i="6"/>
  <c r="F145" i="6"/>
  <c r="F137" i="6"/>
  <c r="F129" i="6"/>
  <c r="F121" i="6"/>
  <c r="F113" i="6"/>
  <c r="Y78" i="6"/>
  <c r="Q78" i="6"/>
  <c r="I78" i="6"/>
  <c r="F336" i="6"/>
  <c r="F328" i="6"/>
  <c r="F320" i="6"/>
  <c r="F312" i="6"/>
  <c r="F304" i="6"/>
  <c r="F296" i="6"/>
  <c r="F288" i="6"/>
  <c r="F280" i="6"/>
  <c r="F272" i="6"/>
  <c r="F264" i="6"/>
  <c r="F256" i="6"/>
  <c r="F248" i="6"/>
  <c r="F240" i="6"/>
  <c r="F232" i="6"/>
  <c r="F224" i="6"/>
  <c r="F216" i="6"/>
  <c r="F208" i="6"/>
  <c r="F200" i="6"/>
  <c r="F192" i="6"/>
  <c r="F184" i="6"/>
  <c r="F176" i="6"/>
  <c r="F168" i="6"/>
  <c r="F160" i="6"/>
  <c r="F152" i="6"/>
  <c r="F144" i="6"/>
  <c r="F136" i="6"/>
  <c r="F128" i="6"/>
  <c r="F120" i="6"/>
  <c r="F112" i="6"/>
  <c r="X78" i="6"/>
  <c r="P78" i="6"/>
  <c r="H78" i="6"/>
  <c r="F335" i="6"/>
  <c r="F327" i="6"/>
  <c r="F319" i="6"/>
  <c r="F311" i="6"/>
  <c r="F303" i="6"/>
  <c r="F295" i="6"/>
  <c r="F287" i="6"/>
  <c r="F279" i="6"/>
  <c r="F271" i="6"/>
  <c r="F263" i="6"/>
  <c r="F255" i="6"/>
  <c r="F247" i="6"/>
  <c r="F239" i="6"/>
  <c r="F231" i="6"/>
  <c r="F223" i="6"/>
  <c r="F215" i="6"/>
  <c r="F207" i="6"/>
  <c r="F199" i="6"/>
  <c r="F191" i="6"/>
  <c r="F183" i="6"/>
  <c r="F175" i="6"/>
  <c r="F167" i="6"/>
  <c r="F159" i="6"/>
  <c r="F151" i="6"/>
  <c r="F143" i="6"/>
  <c r="F135" i="6"/>
  <c r="F127" i="6"/>
  <c r="F119" i="6"/>
  <c r="F111" i="6"/>
  <c r="W78" i="6"/>
  <c r="O78" i="6"/>
  <c r="G78" i="6"/>
  <c r="AC70" i="6"/>
  <c r="U78" i="6"/>
  <c r="M78" i="6"/>
  <c r="H64" i="6"/>
  <c r="H68" i="6"/>
  <c r="W68" i="6"/>
  <c r="W64" i="6"/>
  <c r="V68" i="6"/>
  <c r="X64" i="6"/>
  <c r="X68" i="6"/>
  <c r="G68" i="6"/>
  <c r="G64" i="6"/>
  <c r="L68" i="6"/>
  <c r="AC74" i="6"/>
  <c r="U64" i="6"/>
  <c r="U68" i="6"/>
  <c r="O68" i="6"/>
  <c r="O64" i="6"/>
  <c r="AC78" i="4"/>
  <c r="T68" i="4"/>
  <c r="T72" i="4"/>
  <c r="AA82" i="4"/>
  <c r="S82" i="4"/>
  <c r="K82" i="4"/>
  <c r="Z82" i="4"/>
  <c r="R82" i="4"/>
  <c r="J82" i="4"/>
  <c r="Y82" i="4"/>
  <c r="Q82" i="4"/>
  <c r="I82" i="4"/>
  <c r="X82" i="4"/>
  <c r="P82" i="4"/>
  <c r="H82" i="4"/>
  <c r="W82" i="4"/>
  <c r="O82" i="4"/>
  <c r="G82" i="4"/>
  <c r="AC74" i="4"/>
  <c r="V82" i="4"/>
  <c r="N82" i="4"/>
  <c r="F82" i="4"/>
  <c r="U82" i="4"/>
  <c r="M82" i="4"/>
  <c r="T82" i="4"/>
  <c r="L82" i="4"/>
  <c r="W72" i="4"/>
  <c r="W68" i="4"/>
  <c r="N72" i="4"/>
  <c r="N68" i="4"/>
  <c r="K68" i="4"/>
  <c r="K72" i="4"/>
  <c r="R68" i="4"/>
  <c r="R72" i="4"/>
  <c r="M68" i="4"/>
  <c r="M72" i="4"/>
  <c r="G72" i="4"/>
  <c r="G68" i="4"/>
  <c r="Q68" i="4"/>
  <c r="Q72" i="4"/>
  <c r="H68" i="4"/>
  <c r="H72" i="4"/>
  <c r="P68" i="4"/>
  <c r="P72" i="4"/>
  <c r="X68" i="4"/>
  <c r="X72" i="4"/>
  <c r="Y68" i="4"/>
  <c r="Y72" i="4"/>
  <c r="I68" i="4"/>
  <c r="I72" i="4"/>
  <c r="V72" i="4"/>
  <c r="V68" i="4"/>
  <c r="S68" i="4"/>
  <c r="S72" i="4"/>
  <c r="Z68" i="4"/>
  <c r="Z72" i="4"/>
  <c r="U68" i="4"/>
  <c r="U72" i="4"/>
  <c r="F72" i="4"/>
  <c r="F68" i="4"/>
  <c r="J68" i="4"/>
  <c r="J72" i="4"/>
  <c r="AA68" i="4"/>
  <c r="AA72" i="4"/>
  <c r="U83" i="4"/>
  <c r="M83" i="4"/>
  <c r="T83" i="4"/>
  <c r="L83" i="4"/>
  <c r="AA83" i="4"/>
  <c r="S83" i="4"/>
  <c r="K83" i="4"/>
  <c r="Z83" i="4"/>
  <c r="R83" i="4"/>
  <c r="J83" i="4"/>
  <c r="Y83" i="4"/>
  <c r="Q83" i="4"/>
  <c r="I83" i="4"/>
  <c r="X83" i="4"/>
  <c r="P83" i="4"/>
  <c r="H83" i="4"/>
  <c r="AC75" i="4"/>
  <c r="W83" i="4"/>
  <c r="O83" i="4"/>
  <c r="G83" i="4"/>
  <c r="V83" i="4"/>
  <c r="N83" i="4"/>
  <c r="F83" i="4"/>
  <c r="L68" i="4"/>
  <c r="L72" i="4"/>
  <c r="O72" i="4"/>
  <c r="O68" i="4"/>
  <c r="M29" i="3"/>
  <c r="M32" i="3"/>
  <c r="I29" i="3"/>
  <c r="I32" i="3"/>
  <c r="S29" i="3"/>
  <c r="S32" i="3"/>
  <c r="O29" i="3"/>
  <c r="O32" i="3"/>
  <c r="Y29" i="3"/>
  <c r="Y32" i="3"/>
  <c r="K29" i="3"/>
  <c r="K32" i="3"/>
  <c r="G29" i="3"/>
  <c r="G32" i="3"/>
  <c r="K68" i="1"/>
  <c r="Q29" i="3"/>
  <c r="Q32" i="3"/>
  <c r="V29" i="3"/>
  <c r="V32" i="3"/>
  <c r="N68" i="1"/>
  <c r="H68" i="1"/>
  <c r="S68" i="1"/>
  <c r="U29" i="3"/>
  <c r="U32" i="3"/>
  <c r="N29" i="3"/>
  <c r="N32" i="3"/>
  <c r="V68" i="1"/>
  <c r="P68" i="1"/>
  <c r="AA68" i="1"/>
  <c r="X29" i="3"/>
  <c r="X32" i="3"/>
  <c r="X68" i="1"/>
  <c r="Z29" i="3"/>
  <c r="Z32" i="3"/>
  <c r="T29" i="3"/>
  <c r="T32" i="3"/>
  <c r="P29" i="3"/>
  <c r="P32" i="3"/>
  <c r="O68" i="1"/>
  <c r="I68" i="1"/>
  <c r="F29" i="3"/>
  <c r="F32" i="3"/>
  <c r="L29" i="3"/>
  <c r="L32" i="3"/>
  <c r="H29" i="3"/>
  <c r="H32" i="3"/>
  <c r="W68" i="1"/>
  <c r="Q68" i="1"/>
  <c r="J29" i="3"/>
  <c r="J32" i="3"/>
  <c r="AA29" i="3"/>
  <c r="AA32" i="3"/>
  <c r="W29" i="3"/>
  <c r="W32" i="3"/>
  <c r="Y68" i="1"/>
  <c r="X31" i="8" l="1"/>
  <c r="AC81" i="6"/>
  <c r="AC68" i="6"/>
  <c r="AC82" i="6"/>
  <c r="H109" i="6"/>
  <c r="AC85" i="4"/>
  <c r="AC86" i="4"/>
  <c r="AC72" i="4"/>
  <c r="AC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<sst xmlns="http://schemas.openxmlformats.org/spreadsheetml/2006/main" count="5861" uniqueCount="163">
  <si>
    <t>Name</t>
  </si>
  <si>
    <t>Score_Min</t>
  </si>
  <si>
    <t>Score_Max</t>
  </si>
  <si>
    <t>Agathocles of Syracuse</t>
  </si>
  <si>
    <t>Ahab son of Omri</t>
  </si>
  <si>
    <t>Alcibiades</t>
  </si>
  <si>
    <t>Alexander the Great</t>
  </si>
  <si>
    <t>Apollonius of Tyana</t>
  </si>
  <si>
    <t>Aratus of Sicyon</t>
  </si>
  <si>
    <t>Aristotle</t>
  </si>
  <si>
    <t>Caesar Augustus</t>
  </si>
  <si>
    <t>Claudius</t>
  </si>
  <si>
    <t>Cleopatra</t>
  </si>
  <si>
    <t>Cyrus the Great</t>
  </si>
  <si>
    <t>Domitian</t>
  </si>
  <si>
    <t>Galba</t>
  </si>
  <si>
    <t>Hadrian</t>
  </si>
  <si>
    <t>Hiero II</t>
  </si>
  <si>
    <t>Julius Caear</t>
  </si>
  <si>
    <t>Mark Anthony</t>
  </si>
  <si>
    <t>Mithridates VI Eupator</t>
  </si>
  <si>
    <t>Nero</t>
  </si>
  <si>
    <t>Otho</t>
  </si>
  <si>
    <t>Pericles</t>
  </si>
  <si>
    <t>Plato</t>
  </si>
  <si>
    <t>Ptolemy I Soter</t>
  </si>
  <si>
    <t>Pyrrhus I of Epirus</t>
  </si>
  <si>
    <t>Pythagoras</t>
  </si>
  <si>
    <t>Solon</t>
  </si>
  <si>
    <t>Tiberius</t>
  </si>
  <si>
    <t>Titus</t>
  </si>
  <si>
    <t>Trajan</t>
  </si>
  <si>
    <t>Vespasian</t>
  </si>
  <si>
    <t>Vitellius</t>
  </si>
  <si>
    <t>Oedipus</t>
  </si>
  <si>
    <t>Theseus</t>
  </si>
  <si>
    <t>Romulus</t>
  </si>
  <si>
    <t>Heracles</t>
  </si>
  <si>
    <t>Perseus</t>
  </si>
  <si>
    <t>Jason</t>
  </si>
  <si>
    <t>Bellerophon</t>
  </si>
  <si>
    <t>Pelops</t>
  </si>
  <si>
    <t>Aslepius</t>
  </si>
  <si>
    <t>?</t>
  </si>
  <si>
    <t>Dionysus</t>
  </si>
  <si>
    <t>Apollo</t>
  </si>
  <si>
    <t>Zeus</t>
  </si>
  <si>
    <t>Joseph</t>
  </si>
  <si>
    <t>Moses</t>
  </si>
  <si>
    <t>Elijah</t>
  </si>
  <si>
    <t>Sigurd</t>
  </si>
  <si>
    <t>Arthur</t>
  </si>
  <si>
    <t>Nyikang</t>
  </si>
  <si>
    <t>X</t>
  </si>
  <si>
    <t>Caligula</t>
  </si>
  <si>
    <t>Min</t>
  </si>
  <si>
    <t>Max</t>
  </si>
  <si>
    <t>Demetrius I Poliorcetes</t>
  </si>
  <si>
    <t>Jesus</t>
  </si>
  <si>
    <t>HIST</t>
  </si>
  <si>
    <t>MYTH</t>
  </si>
  <si>
    <t>Watu Gunung</t>
  </si>
  <si>
    <t>Llew Llawgyffes</t>
  </si>
  <si>
    <t>Robin Hood</t>
  </si>
  <si>
    <t>Father is a king</t>
  </si>
  <si>
    <t>Father often a near relative to mother</t>
  </si>
  <si>
    <t>Unusual conception</t>
  </si>
  <si>
    <t>Attempt to kill hero as an infant, often by father or maternal grandfather</t>
  </si>
  <si>
    <t>Hero spirited away as a child</t>
  </si>
  <si>
    <t>Reared by foster parents in a far country</t>
  </si>
  <si>
    <t>No details of childhood</t>
  </si>
  <si>
    <t>Returns or goes to future kingdom</t>
  </si>
  <si>
    <t>Marries a princess (often daughter of predecessor)</t>
  </si>
  <si>
    <t>Becomes king</t>
  </si>
  <si>
    <t>For a time he reigns uneventfully</t>
  </si>
  <si>
    <t>He prescribes laws</t>
  </si>
  <si>
    <t>Later loses favor with gods or his subjects</t>
  </si>
  <si>
    <t>Driven from throne and city</t>
  </si>
  <si>
    <t>Meets with mysterious death</t>
  </si>
  <si>
    <t>Often at the top of a hill</t>
  </si>
  <si>
    <t>His children, if any, do not succeed him</t>
  </si>
  <si>
    <t>His body is not buried</t>
  </si>
  <si>
    <t>Has one or more holy sepulchers or tombs</t>
  </si>
  <si>
    <t>Mother is a royal virgin</t>
  </si>
  <si>
    <t>Hero reputed to be son of god</t>
  </si>
  <si>
    <t>Is victor over king, giant, dragon or wild beast</t>
  </si>
  <si>
    <t>T-Test</t>
  </si>
  <si>
    <t xml:space="preserve">At least one of their parents is of very high status (i.e., king, high priest, god, etc.) </t>
  </si>
  <si>
    <t xml:space="preserve">Their birth is prophesied or filled with auspicious signs. </t>
  </si>
  <si>
    <t xml:space="preserve">The hero/heroine is purportedly divine or the child of divine beings. </t>
  </si>
  <si>
    <t xml:space="preserve">An attempt is made on the life of the child, either while an infant or very young. </t>
  </si>
  <si>
    <t xml:space="preserve">The child/infant is saved from their murder by active intervention. </t>
  </si>
  <si>
    <t xml:space="preserve">The child/infant grows up away from their homeland or their place of future power. </t>
  </si>
  <si>
    <t>Almost nothing is said of their childhood except for examples of their prodigy.</t>
  </si>
  <si>
    <t>They come/return to the country that will honor them.</t>
  </si>
  <si>
    <t>They defeat the societal enemy. That enemy is either preternatural or is defeated by preternatural means.</t>
  </si>
  <si>
    <t xml:space="preserve">They are recognized for their heroic deeds and given authority and/or great honors. </t>
  </si>
  <si>
    <t xml:space="preserve">They have enforced orders or laws. </t>
  </si>
  <si>
    <t>For some time, before their authority is lost, they conduct matters under their established or recognized title.</t>
  </si>
  <si>
    <t>Their authority or honor is lost, and they are driven away.</t>
  </si>
  <si>
    <t xml:space="preserve">Any children do not carry on in power, authority, or honor. </t>
  </si>
  <si>
    <t xml:space="preserve">Their death is mystical, especially with the disappearance of their body. </t>
  </si>
  <si>
    <t xml:space="preserve">Their death or final sighting is at a high place. </t>
  </si>
  <si>
    <t>Achilles</t>
  </si>
  <si>
    <t>Tang Sanzang</t>
  </si>
  <si>
    <t>x</t>
  </si>
  <si>
    <t>Siegfried</t>
  </si>
  <si>
    <t>Asclepius</t>
  </si>
  <si>
    <t>Lleu Llaw Gyffes</t>
  </si>
  <si>
    <t>Sun Wu Kong</t>
  </si>
  <si>
    <t>Osiris</t>
  </si>
  <si>
    <t>Alexander</t>
  </si>
  <si>
    <t>One or more monuments remain enshrining their death/disappearance.</t>
  </si>
  <si>
    <t>Mithradates</t>
  </si>
  <si>
    <t>Hist</t>
  </si>
  <si>
    <t>Myth</t>
  </si>
  <si>
    <t>Aeneas</t>
  </si>
  <si>
    <t>Gilgamesh (Hel)</t>
  </si>
  <si>
    <t>Nezha</t>
  </si>
  <si>
    <t>Krishna</t>
  </si>
  <si>
    <t>TOTAL</t>
  </si>
  <si>
    <t>Karna</t>
  </si>
  <si>
    <t>Yudhishthira</t>
  </si>
  <si>
    <t>Rama</t>
  </si>
  <si>
    <t>Sun Wukong</t>
  </si>
  <si>
    <t>Horus</t>
  </si>
  <si>
    <t>Cadmus</t>
  </si>
  <si>
    <t>Fionn mac Cumhaill</t>
  </si>
  <si>
    <t>Kay Khusraw</t>
  </si>
  <si>
    <t>Fereydun</t>
  </si>
  <si>
    <t>Thánh Gióng</t>
  </si>
  <si>
    <t>Mwindo</t>
  </si>
  <si>
    <t>Hero Name</t>
  </si>
  <si>
    <t>Historical?</t>
  </si>
  <si>
    <t>Yes</t>
  </si>
  <si>
    <t>Notes</t>
  </si>
  <si>
    <t>Victory was not over a supernatural oppressor, but a representative of Ottoman power</t>
  </si>
  <si>
    <t>Country/Region</t>
  </si>
  <si>
    <t>Serbia</t>
  </si>
  <si>
    <t>China</t>
  </si>
  <si>
    <t>Great deed was collecting scrolls from India</t>
  </si>
  <si>
    <t>Sundiata Keita</t>
  </si>
  <si>
    <t>Mali</t>
  </si>
  <si>
    <t>Founder of Mali empire, but won power through political means, not supernatural conquest</t>
  </si>
  <si>
    <t>Ken Arok</t>
  </si>
  <si>
    <t>Java</t>
  </si>
  <si>
    <t>Only thing that might be supernatural in rise to power is a powerful weapon, but doesn't really fit</t>
  </si>
  <si>
    <t>Alexander III</t>
  </si>
  <si>
    <t>Macedonia</t>
  </si>
  <si>
    <t>Defeat of Persians through military prowess or luck (Persians falling through the ice)</t>
  </si>
  <si>
    <t>Sargon of Akkad</t>
  </si>
  <si>
    <t>Akkad</t>
  </si>
  <si>
    <t>Rise to power not against a supernatural agent or via supernatural means</t>
  </si>
  <si>
    <t>Mithridates of Pontus</t>
  </si>
  <si>
    <t>Pontus</t>
  </si>
  <si>
    <t>Overthrew his mother, but no supernatural element part of this story</t>
  </si>
  <si>
    <t>Persia</t>
  </si>
  <si>
    <t>Rise to power not clearly against a supernatural foe</t>
  </si>
  <si>
    <t>Prince Marko (Marko Mrnjavčević)</t>
  </si>
  <si>
    <t>Cúchulainn</t>
  </si>
  <si>
    <t>Rostam</t>
  </si>
  <si>
    <t>Maui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</si>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</sst>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theme="1"/>
      <name val="Times New Roman"/>
      <family val="1"/>
    </font>
    <font>
      <sz val="14"/>
      <color rgb="FF000000"/>
      <name val="Times New Roman"/>
      <family val="1"/>
    </font>
    <font>
      <b/>
      <sz val="14"/>
      <color theme="1"/>
      <name val="Times New Roman"/>
      <family val="1"/>
    </font>
    <font>
      <strike/>
      <sz val="12"/>
      <color theme="1"/>
      <name val="Aptos Narrow"/>
      <scheme val="minor"/>
    </font>
    <font>
      <b/>
      <strike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10" fontId="0" fillId="2" borderId="0" xfId="0" applyNumberFormat="1" applyFill="1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/>
    <xf numFmtId="2" fontId="0" fillId="0" borderId="0" xfId="0" applyNumberFormat="1"/>
    <xf numFmtId="10" fontId="0" fillId="3" borderId="0" xfId="0" applyNumberFormat="1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0" fillId="0" borderId="0" xfId="1" applyNumberFormat="1" applyFont="1"/>
    <xf numFmtId="0" fontId="8" fillId="0" borderId="0" xfId="0" applyFont="1"/>
    <xf numFmtId="0" fontId="9" fillId="0" borderId="0" xfId="0" applyFont="1"/>
    <xf numFmtId="164" fontId="8" fillId="0" borderId="0" xfId="1" applyNumberFormat="1" applyFont="1"/>
    <xf numFmtId="164" fontId="0" fillId="0" borderId="0" xfId="0" applyNumberFormat="1"/>
    <xf numFmtId="0" fontId="10" fillId="0" borderId="0" xfId="0" applyFont="1"/>
    <xf numFmtId="0" fontId="1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_xlchart.v1.0</cx:f>
      </cx:numDim>
    </cx:data>
  </cx:chartData>
  <cx:chart>
    <cx:title pos="t" align="ctr" overlay="0"/>
    <cx:plotArea>
      <cx:plotAreaRegion>
        <cx:series layoutId="clusteredColumn" uniqueId="{8FA33EDF-32DB-D848-B7ED-7480F1DADE7C}">
          <cx:dataPt idx="5"/>
          <cx:dataId val="0"/>
          <cx:layoutPr>
            <cx:binning intervalClosed="r" underflow="-0.5" overflow="0.5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/>
    <cx:plotArea>
      <cx:plotAreaRegion>
        <cx:series layoutId="boxWhisker" uniqueId="{56BE9959-0065-FF4B-9DD1-9E36EAD2B1B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</cx:f>
      </cx:numDim>
    </cx:data>
  </cx:chartData>
  <cx:chart>
    <cx:title pos="t" align="ctr" overlay="0"/>
    <cx:plotArea>
      <cx:plotAreaRegion>
        <cx:series layoutId="boxWhisker" uniqueId="{85A081BA-FD22-2C40-8D57-9F72F5F8C496}">
          <cx:dataLabels/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/>
    <cx:plotArea>
      <cx:plotAreaRegion>
        <cx:series layoutId="boxWhisker" uniqueId="{88D77871-64EC-3844-B791-4AB339A29F09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_xlchart.v1.4</cx:f>
      </cx:numDim>
    </cx:data>
  </cx:chartData>
  <cx:chart>
    <cx:title pos="t" align="ctr" overlay="0"/>
    <cx:plotArea>
      <cx:plotAreaRegion>
        <cx:series layoutId="boxWhisker" uniqueId="{B3437D92-056A-A440-8874-8E55E81E263E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/>
    <cx:plotArea>
      <cx:plotAreaRegion>
        <cx:series layoutId="boxWhisker" uniqueId="{5D051CA8-8172-4342-81BA-ED0013D14653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  <cx:data id="1">
      <cx:numDim type="val">
        <cx:f>_xlchart.v1.7</cx:f>
      </cx:numDim>
    </cx:data>
  </cx:chartData>
  <cx:chart>
    <cx:title pos="t" align="ctr" overlay="0">
      <cx:tx>
        <cx:txData>
          <cx:v>RR Scores &gt;= 12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RR Scores &gt;= 12</a:t>
          </a:r>
        </a:p>
      </cx:txPr>
    </cx:title>
    <cx:plotArea>
      <cx:plotAreaRegion>
        <cx:series layoutId="boxWhisker" uniqueId="{86293858-9D2E-4D4C-B16F-80B8E943475C}">
          <cx:tx>
            <cx:txData>
              <cx:f/>
              <cx:v>Historical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6E00-CD45-9B39-38410D379D90}">
          <cx:tx>
            <cx:txData>
              <cx:f/>
              <cx:v>Mythical</cx:v>
            </cx:txData>
          </cx:tx>
          <cx:dataId val="1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</cx:chartData>
  <cx:chart>
    <cx:title pos="t" align="ctr" overlay="0"/>
    <cx:plotArea>
      <cx:plotAreaRegion>
        <cx:series layoutId="clusteredColumn" uniqueId="{D3741F30-AAF1-6F4A-BA85-6CF35BA73CF1}">
          <cx:dataPt idx="2"/>
          <cx:dataId val="0"/>
          <cx:layoutPr>
            <cx:binning intervalClosed="r">
              <cx:binCount val="1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_xlchart.v1.9</cx:f>
      </cx:numDim>
    </cx:data>
  </cx:chartData>
  <cx:chart>
    <cx:title pos="t" align="ctr" overlay="0"/>
    <cx:plotArea>
      <cx:plotAreaRegion>
        <cx:series layoutId="clusteredColumn" uniqueId="{8FA33EDF-32DB-D848-B7ED-7480F1DADE7C}">
          <cx:dataPt idx="5"/>
          <cx:dataId val="0"/>
          <cx:layoutPr>
            <cx:binning intervalClosed="r" underflow="-0.5" overflow="0.5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_xlchart.v1.10</cx:f>
      </cx:numDim>
    </cx:data>
  </cx:chartData>
  <cx:chart>
    <cx:title pos="t" align="ctr" overlay="0"/>
    <cx:plotArea>
      <cx:plotAreaRegion>
        <cx:series layoutId="boxWhisker" uniqueId="{56BE9959-0065-FF4B-9DD1-9E36EAD2B1B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_xlchart.v1.11</cx:f>
      </cx:numDim>
    </cx:data>
  </cx:chartData>
  <cx:chart>
    <cx:title pos="t" align="ctr" overlay="0"/>
    <cx:plotArea>
      <cx:plotAreaRegion>
        <cx:series layoutId="boxWhisker" uniqueId="{85A081BA-FD22-2C40-8D57-9F72F5F8C496}">
          <cx:dataLabels/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_xlchart.v1.12</cx:f>
      </cx:numDim>
    </cx:data>
  </cx:chartData>
  <cx:chart>
    <cx:title pos="t" align="ctr" overlay="0"/>
    <cx:plotArea>
      <cx:plotAreaRegion>
        <cx:series layoutId="boxWhisker" uniqueId="{88D77871-64EC-3844-B791-4AB339A29F09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_xlchart.v1.13</cx:f>
      </cx:numDim>
    </cx:data>
  </cx:chartData>
  <cx:chart>
    <cx:title pos="t" align="ctr" overlay="0"/>
    <cx:plotArea>
      <cx:plotAreaRegion>
        <cx:series layoutId="boxWhisker" uniqueId="{B3437D92-056A-A440-8874-8E55E81E263E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</cx:chartData>
  <cx:chart>
    <cx:title pos="t" align="ctr" overlay="0"/>
    <cx:plotArea>
      <cx:plotAreaRegion>
        <cx:series layoutId="boxWhisker" uniqueId="{5D051CA8-8172-4342-81BA-ED0013D14653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_xlchart.v1.16</cx:f>
      </cx:numDim>
    </cx:data>
  </cx:chartData>
  <cx:chart>
    <cx:title pos="t" align="ctr" overlay="0">
      <cx:tx>
        <cx:txData>
          <cx:v>RR Scores &gt;= 12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RR Scores &gt;= 12</a:t>
          </a:r>
        </a:p>
      </cx:txPr>
    </cx:title>
    <cx:plotArea>
      <cx:plotAreaRegion>
        <cx:series layoutId="boxWhisker" uniqueId="{86293858-9D2E-4D4C-B16F-80B8E943475C}">
          <cx:tx>
            <cx:txData>
              <cx:f/>
              <cx:v>Historical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6E00-CD45-9B39-38410D379D90}">
          <cx:tx>
            <cx:txData>
              <cx:f/>
              <cx:v>Mythical</cx:v>
            </cx:txData>
          </cx:tx>
          <cx:dataId val="1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_xlchart.v1.18</cx:f>
      </cx:numDim>
    </cx:data>
  </cx:chartData>
  <cx:chart>
    <cx:title pos="t" align="ctr" overlay="0"/>
    <cx:plotArea>
      <cx:plotAreaRegion>
        <cx:series layoutId="clusteredColumn" uniqueId="{8FA33EDF-32DB-D848-B7ED-7480F1DADE7C}">
          <cx:dataPt idx="5"/>
          <cx:dataId val="0"/>
          <cx:layoutPr>
            <cx:binning intervalClosed="r" underflow="-0.5" overflow="0.5">
              <cx:binSize val="0.1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_xlchart.v1.19</cx:f>
      </cx:numDim>
    </cx:data>
  </cx:chartData>
  <cx:chart>
    <cx:title pos="t" align="ctr" overlay="0"/>
    <cx:plotArea>
      <cx:plotAreaRegion>
        <cx:series layoutId="boxWhisker" uniqueId="{56BE9959-0065-FF4B-9DD1-9E36EAD2B1B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_xlchart.v1.20</cx:f>
      </cx:numDim>
    </cx:data>
  </cx:chartData>
  <cx:chart>
    <cx:title pos="t" align="ctr" overlay="0"/>
    <cx:plotArea>
      <cx:plotAreaRegion>
        <cx:series layoutId="boxWhisker" uniqueId="{85A081BA-FD22-2C40-8D57-9F72F5F8C496}">
          <cx:dataLabels/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_xlchart.v1.17</cx:f>
      </cx:numDim>
    </cx:data>
  </cx:chartData>
  <cx:chart>
    <cx:title pos="t" align="ctr" overlay="0"/>
    <cx:plotArea>
      <cx:plotAreaRegion>
        <cx:series layoutId="boxWhisker" uniqueId="{88D77871-64EC-3844-B791-4AB339A29F09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_xlchart.v1.21</cx:f>
      </cx:numDim>
    </cx:data>
  </cx:chartData>
  <cx:chart>
    <cx:title pos="t" align="ctr" overlay="0"/>
    <cx:plotArea>
      <cx:plotAreaRegion>
        <cx:series layoutId="boxWhisker" uniqueId="{B3437D92-056A-A440-8874-8E55E81E263E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</cx:chartData>
  <cx:chart>
    <cx:title pos="t" align="ctr" overlay="0"/>
    <cx:plotArea>
      <cx:plotAreaRegion>
        <cx:series layoutId="clusteredColumn" uniqueId="{E9FD1D28-BA02-C847-862C-01293261E2A5}">
          <cx:dataId val="0"/>
          <cx:layoutPr>
            <cx:binning intervalClosed="r">
              <cx:binCount val="7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8.xml"/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1.xml"/><Relationship Id="rId7" Type="http://schemas.microsoft.com/office/2014/relationships/chartEx" Target="../charts/chartEx15.xml"/><Relationship Id="rId2" Type="http://schemas.microsoft.com/office/2014/relationships/chartEx" Target="../charts/chartEx10.xml"/><Relationship Id="rId1" Type="http://schemas.microsoft.com/office/2014/relationships/chartEx" Target="../charts/chartEx9.xml"/><Relationship Id="rId6" Type="http://schemas.microsoft.com/office/2014/relationships/chartEx" Target="../charts/chartEx14.xml"/><Relationship Id="rId5" Type="http://schemas.microsoft.com/office/2014/relationships/chartEx" Target="../charts/chartEx13.xml"/><Relationship Id="rId4" Type="http://schemas.microsoft.com/office/2014/relationships/chartEx" Target="../charts/chartEx12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18.xml"/><Relationship Id="rId2" Type="http://schemas.microsoft.com/office/2014/relationships/chartEx" Target="../charts/chartEx17.xml"/><Relationship Id="rId1" Type="http://schemas.microsoft.com/office/2014/relationships/chartEx" Target="../charts/chartEx16.xml"/><Relationship Id="rId5" Type="http://schemas.microsoft.com/office/2014/relationships/chartEx" Target="../charts/chartEx20.xml"/><Relationship Id="rId4" Type="http://schemas.microsoft.com/office/2014/relationships/chartEx" Target="../charts/chartEx19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349250</xdr:colOff>
      <xdr:row>56</xdr:row>
      <xdr:rowOff>69850</xdr:rowOff>
    </xdr:from>
    <xdr:to>
      <xdr:col>41</xdr:col>
      <xdr:colOff>342900</xdr:colOff>
      <xdr:row>75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A857800-5879-E14D-8C6D-8477DD7D25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92150" y="11487150"/>
              <a:ext cx="9074150" cy="3981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30</xdr:col>
      <xdr:colOff>336550</xdr:colOff>
      <xdr:row>77</xdr:row>
      <xdr:rowOff>120650</xdr:rowOff>
    </xdr:from>
    <xdr:to>
      <xdr:col>35</xdr:col>
      <xdr:colOff>781050</xdr:colOff>
      <xdr:row>103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F0C976B-8EF2-E646-9CF2-EB5503ADF3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79450" y="15805150"/>
              <a:ext cx="4572000" cy="520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43</xdr:col>
      <xdr:colOff>120650</xdr:colOff>
      <xdr:row>55</xdr:row>
      <xdr:rowOff>152400</xdr:rowOff>
    </xdr:from>
    <xdr:to>
      <xdr:col>48</xdr:col>
      <xdr:colOff>565150</xdr:colOff>
      <xdr:row>83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94FD139D-8FAB-1344-883B-96CF35B17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595050" y="11366500"/>
              <a:ext cx="4572000" cy="5727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349250</xdr:colOff>
      <xdr:row>79</xdr:row>
      <xdr:rowOff>114300</xdr:rowOff>
    </xdr:from>
    <xdr:to>
      <xdr:col>16</xdr:col>
      <xdr:colOff>793750</xdr:colOff>
      <xdr:row>105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2CB4C8C-FB12-0E4F-B873-8CB7105815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06050" y="16205200"/>
              <a:ext cx="4572000" cy="5194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36</xdr:col>
      <xdr:colOff>285750</xdr:colOff>
      <xdr:row>77</xdr:row>
      <xdr:rowOff>107950</xdr:rowOff>
    </xdr:from>
    <xdr:to>
      <xdr:col>41</xdr:col>
      <xdr:colOff>730250</xdr:colOff>
      <xdr:row>103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883417DC-109C-8E4C-B0E4-259C25EE2C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81650" y="15792450"/>
              <a:ext cx="4572000" cy="5175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117</xdr:row>
      <xdr:rowOff>0</xdr:rowOff>
    </xdr:from>
    <xdr:to>
      <xdr:col>13</xdr:col>
      <xdr:colOff>444500</xdr:colOff>
      <xdr:row>142</xdr:row>
      <xdr:rowOff>177800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E038E4EE-A3EB-F144-87BE-41D449FD374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80300" y="23812500"/>
              <a:ext cx="4572000" cy="525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34</xdr:col>
      <xdr:colOff>120650</xdr:colOff>
      <xdr:row>2</xdr:row>
      <xdr:rowOff>25400</xdr:rowOff>
    </xdr:from>
    <xdr:to>
      <xdr:col>41</xdr:col>
      <xdr:colOff>266700</xdr:colOff>
      <xdr:row>33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24AAADE-C3C7-1F4A-A966-E66C668769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165550" y="469900"/>
              <a:ext cx="5924550" cy="6299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34</xdr:col>
      <xdr:colOff>44450</xdr:colOff>
      <xdr:row>34</xdr:row>
      <xdr:rowOff>25400</xdr:rowOff>
    </xdr:from>
    <xdr:to>
      <xdr:col>41</xdr:col>
      <xdr:colOff>279400</xdr:colOff>
      <xdr:row>52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C775113B-2728-B22B-CD21-1421F6489A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089350" y="6972300"/>
              <a:ext cx="6013450" cy="3797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349250</xdr:colOff>
      <xdr:row>60</xdr:row>
      <xdr:rowOff>69850</xdr:rowOff>
    </xdr:from>
    <xdr:to>
      <xdr:col>41</xdr:col>
      <xdr:colOff>342900</xdr:colOff>
      <xdr:row>79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ED73BA7-B3D9-9278-F7FE-CAAC402183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92150" y="12299950"/>
              <a:ext cx="9074150" cy="3981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30</xdr:col>
      <xdr:colOff>336550</xdr:colOff>
      <xdr:row>81</xdr:row>
      <xdr:rowOff>120650</xdr:rowOff>
    </xdr:from>
    <xdr:to>
      <xdr:col>35</xdr:col>
      <xdr:colOff>781050</xdr:colOff>
      <xdr:row>107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4D7F195-0EB9-5885-9854-73E66FB4B7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79450" y="16617950"/>
              <a:ext cx="4572000" cy="520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43</xdr:col>
      <xdr:colOff>158750</xdr:colOff>
      <xdr:row>56</xdr:row>
      <xdr:rowOff>76200</xdr:rowOff>
    </xdr:from>
    <xdr:to>
      <xdr:col>48</xdr:col>
      <xdr:colOff>603250</xdr:colOff>
      <xdr:row>84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F71E69F-C071-F332-0478-3CC990C4D9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633150" y="11493500"/>
              <a:ext cx="4572000" cy="5727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349250</xdr:colOff>
      <xdr:row>83</xdr:row>
      <xdr:rowOff>114300</xdr:rowOff>
    </xdr:from>
    <xdr:to>
      <xdr:col>16</xdr:col>
      <xdr:colOff>793750</xdr:colOff>
      <xdr:row>109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157E7C9D-03F8-0317-8AE0-38056C1514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06050" y="17018000"/>
              <a:ext cx="4572000" cy="5194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36</xdr:col>
      <xdr:colOff>285750</xdr:colOff>
      <xdr:row>81</xdr:row>
      <xdr:rowOff>107950</xdr:rowOff>
    </xdr:from>
    <xdr:to>
      <xdr:col>41</xdr:col>
      <xdr:colOff>730250</xdr:colOff>
      <xdr:row>107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44FF0633-FB15-BBF8-5E00-341C4BB85B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81650" y="16605250"/>
              <a:ext cx="4572000" cy="5175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121</xdr:row>
      <xdr:rowOff>0</xdr:rowOff>
    </xdr:from>
    <xdr:to>
      <xdr:col>13</xdr:col>
      <xdr:colOff>444500</xdr:colOff>
      <xdr:row>146</xdr:row>
      <xdr:rowOff>177800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28DC5C8B-D50B-7F44-9476-A5AFFCC646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80300" y="24625300"/>
              <a:ext cx="4572000" cy="525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34</xdr:col>
      <xdr:colOff>120650</xdr:colOff>
      <xdr:row>3</xdr:row>
      <xdr:rowOff>25400</xdr:rowOff>
    </xdr:from>
    <xdr:to>
      <xdr:col>41</xdr:col>
      <xdr:colOff>266700</xdr:colOff>
      <xdr:row>34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D6BE383F-B52D-0014-99F6-D48D98BD8BA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165550" y="673100"/>
              <a:ext cx="5924550" cy="6299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349250</xdr:colOff>
      <xdr:row>60</xdr:row>
      <xdr:rowOff>69850</xdr:rowOff>
    </xdr:from>
    <xdr:to>
      <xdr:col>41</xdr:col>
      <xdr:colOff>342900</xdr:colOff>
      <xdr:row>79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4D5B2BA-73F1-104A-B84F-7958973639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990550" y="12299950"/>
              <a:ext cx="9074150" cy="3981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30</xdr:col>
      <xdr:colOff>336550</xdr:colOff>
      <xdr:row>81</xdr:row>
      <xdr:rowOff>120650</xdr:rowOff>
    </xdr:from>
    <xdr:to>
      <xdr:col>35</xdr:col>
      <xdr:colOff>781050</xdr:colOff>
      <xdr:row>107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30BF35E-155E-114C-8BF0-77C38EB4FB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977850" y="16617950"/>
              <a:ext cx="4572000" cy="520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43</xdr:col>
      <xdr:colOff>158750</xdr:colOff>
      <xdr:row>56</xdr:row>
      <xdr:rowOff>76200</xdr:rowOff>
    </xdr:from>
    <xdr:to>
      <xdr:col>48</xdr:col>
      <xdr:colOff>603250</xdr:colOff>
      <xdr:row>84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E1FA524-82DD-764B-BDC4-5E2ACBF7EC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531550" y="11493500"/>
              <a:ext cx="4572000" cy="5727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349250</xdr:colOff>
      <xdr:row>83</xdr:row>
      <xdr:rowOff>114300</xdr:rowOff>
    </xdr:from>
    <xdr:to>
      <xdr:col>16</xdr:col>
      <xdr:colOff>793750</xdr:colOff>
      <xdr:row>109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1F1D8BE-B7F4-1F40-8F17-37B74C9DBC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04450" y="17018000"/>
              <a:ext cx="4572000" cy="5194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36</xdr:col>
      <xdr:colOff>285750</xdr:colOff>
      <xdr:row>81</xdr:row>
      <xdr:rowOff>107950</xdr:rowOff>
    </xdr:from>
    <xdr:to>
      <xdr:col>41</xdr:col>
      <xdr:colOff>730250</xdr:colOff>
      <xdr:row>107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7A535F15-E04A-0542-AC46-781AEA6D97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880050" y="16605250"/>
              <a:ext cx="4572000" cy="5175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539750</xdr:colOff>
      <xdr:row>1</xdr:row>
      <xdr:rowOff>152400</xdr:rowOff>
    </xdr:from>
    <xdr:to>
      <xdr:col>37</xdr:col>
      <xdr:colOff>38100</xdr:colOff>
      <xdr:row>24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43B4C302-06B7-31D0-A6AA-83AD1EC596F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158450" y="393700"/>
              <a:ext cx="7753350" cy="4711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3D09-1EA3-354E-81D8-3BF8CFAF6704}">
  <dimension ref="A1:Y51"/>
  <sheetViews>
    <sheetView workbookViewId="0">
      <selection activeCell="B2" sqref="B2"/>
    </sheetView>
  </sheetViews>
  <sheetFormatPr baseColWidth="10" defaultRowHeight="16" x14ac:dyDescent="0.2"/>
  <cols>
    <col min="1" max="1" width="20.1640625" bestFit="1" customWidth="1"/>
    <col min="2" max="2" width="20.1640625" customWidth="1"/>
  </cols>
  <sheetData>
    <row r="1" spans="1:25" ht="19" x14ac:dyDescent="0.25">
      <c r="A1" s="3" t="s">
        <v>0</v>
      </c>
      <c r="B1" s="3" t="s">
        <v>162</v>
      </c>
      <c r="C1" s="4">
        <v>1</v>
      </c>
      <c r="D1" s="4">
        <v>2</v>
      </c>
      <c r="E1" s="4">
        <v>3</v>
      </c>
      <c r="F1" s="4">
        <v>4</v>
      </c>
      <c r="G1" s="4">
        <v>5</v>
      </c>
      <c r="H1" s="4">
        <v>6</v>
      </c>
      <c r="I1" s="4">
        <v>7</v>
      </c>
      <c r="J1" s="4">
        <v>8</v>
      </c>
      <c r="K1" s="4">
        <v>9</v>
      </c>
      <c r="L1" s="4">
        <v>10</v>
      </c>
      <c r="M1" s="4">
        <v>11</v>
      </c>
      <c r="N1" s="4">
        <v>12</v>
      </c>
      <c r="O1" s="4">
        <v>13</v>
      </c>
      <c r="P1" s="4">
        <v>14</v>
      </c>
      <c r="Q1" s="4">
        <v>15</v>
      </c>
      <c r="R1" s="4">
        <v>16</v>
      </c>
      <c r="S1" s="4">
        <v>17</v>
      </c>
      <c r="T1" s="4">
        <v>18</v>
      </c>
      <c r="U1" s="4">
        <v>19</v>
      </c>
      <c r="V1" s="4">
        <v>20</v>
      </c>
      <c r="W1" s="4">
        <v>21</v>
      </c>
      <c r="X1" s="4">
        <v>22</v>
      </c>
      <c r="Y1" s="10" t="s">
        <v>120</v>
      </c>
    </row>
    <row r="2" spans="1:25" x14ac:dyDescent="0.2">
      <c r="A2" t="s">
        <v>3</v>
      </c>
      <c r="B2" t="s">
        <v>114</v>
      </c>
      <c r="F2" t="s">
        <v>53</v>
      </c>
      <c r="H2" t="s">
        <v>53</v>
      </c>
      <c r="I2" t="s">
        <v>53</v>
      </c>
      <c r="J2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43</v>
      </c>
      <c r="Q2" t="s">
        <v>53</v>
      </c>
      <c r="R2" t="s">
        <v>53</v>
      </c>
      <c r="S2" t="s">
        <v>53</v>
      </c>
      <c r="T2" t="s">
        <v>53</v>
      </c>
      <c r="V2" t="s">
        <v>53</v>
      </c>
      <c r="W2" t="s">
        <v>53</v>
      </c>
      <c r="Y2" cm="1">
        <f t="array" ref="Y2">SUM(IF(C2:X2="X", 1, 0))</f>
        <v>15</v>
      </c>
    </row>
    <row r="3" spans="1:25" x14ac:dyDescent="0.2">
      <c r="A3" t="s">
        <v>5</v>
      </c>
      <c r="B3" t="s">
        <v>114</v>
      </c>
      <c r="C3" t="s">
        <v>53</v>
      </c>
      <c r="D3" t="s">
        <v>53</v>
      </c>
      <c r="L3" t="s">
        <v>53</v>
      </c>
      <c r="M3" t="s">
        <v>53</v>
      </c>
      <c r="N3" t="s">
        <v>53</v>
      </c>
      <c r="O3" t="s">
        <v>53</v>
      </c>
      <c r="Q3" t="s">
        <v>53</v>
      </c>
      <c r="R3" t="s">
        <v>53</v>
      </c>
      <c r="S3" t="s">
        <v>53</v>
      </c>
      <c r="T3" t="s">
        <v>53</v>
      </c>
      <c r="U3" t="s">
        <v>53</v>
      </c>
      <c r="V3" t="s">
        <v>53</v>
      </c>
      <c r="X3" t="s">
        <v>53</v>
      </c>
      <c r="Y3" cm="1">
        <f t="array" ref="Y3">SUM(IF(C3:X3="X", 1, 0))</f>
        <v>13</v>
      </c>
    </row>
    <row r="4" spans="1:25" x14ac:dyDescent="0.2">
      <c r="A4" s="8" t="s">
        <v>6</v>
      </c>
      <c r="B4" t="s">
        <v>114</v>
      </c>
      <c r="C4" t="s">
        <v>53</v>
      </c>
      <c r="D4" t="s">
        <v>53</v>
      </c>
      <c r="E4" t="s">
        <v>53</v>
      </c>
      <c r="F4" t="s">
        <v>53</v>
      </c>
      <c r="G4" t="s">
        <v>53</v>
      </c>
      <c r="H4" t="s">
        <v>53</v>
      </c>
      <c r="I4" t="s">
        <v>53</v>
      </c>
      <c r="J4" t="s">
        <v>53</v>
      </c>
      <c r="L4" t="s">
        <v>53</v>
      </c>
      <c r="M4" t="s">
        <v>53</v>
      </c>
      <c r="N4" t="s">
        <v>53</v>
      </c>
      <c r="O4" t="s">
        <v>53</v>
      </c>
      <c r="P4" t="s">
        <v>53</v>
      </c>
      <c r="Q4" t="s">
        <v>53</v>
      </c>
      <c r="R4" t="s">
        <v>53</v>
      </c>
      <c r="T4" t="s">
        <v>53</v>
      </c>
      <c r="U4" t="s">
        <v>53</v>
      </c>
      <c r="V4" t="s">
        <v>53</v>
      </c>
      <c r="X4" t="s">
        <v>53</v>
      </c>
      <c r="Y4" cm="1">
        <f t="array" ref="Y4">SUM(IF(C4:X4="X", 1, 0))</f>
        <v>19</v>
      </c>
    </row>
    <row r="5" spans="1:25" x14ac:dyDescent="0.2">
      <c r="A5" t="s">
        <v>7</v>
      </c>
      <c r="B5" t="s">
        <v>114</v>
      </c>
      <c r="D5" t="s">
        <v>53</v>
      </c>
      <c r="F5" t="s">
        <v>53</v>
      </c>
      <c r="G5" t="s">
        <v>53</v>
      </c>
      <c r="H5" t="s">
        <v>53</v>
      </c>
      <c r="I5" t="s">
        <v>53</v>
      </c>
      <c r="J5" t="s">
        <v>53</v>
      </c>
      <c r="L5" t="s">
        <v>43</v>
      </c>
      <c r="Q5" t="s">
        <v>53</v>
      </c>
      <c r="T5" t="s">
        <v>53</v>
      </c>
      <c r="U5" t="s">
        <v>53</v>
      </c>
      <c r="V5" t="s">
        <v>53</v>
      </c>
      <c r="W5" t="s">
        <v>53</v>
      </c>
      <c r="X5" t="s">
        <v>53</v>
      </c>
      <c r="Y5" cm="1">
        <f t="array" ref="Y5">SUM(IF(C5:X5="X", 1, 0))</f>
        <v>12</v>
      </c>
    </row>
    <row r="6" spans="1:25" x14ac:dyDescent="0.2">
      <c r="A6" t="s">
        <v>8</v>
      </c>
      <c r="B6" t="s">
        <v>114</v>
      </c>
      <c r="D6" t="s">
        <v>53</v>
      </c>
      <c r="F6" t="s">
        <v>53</v>
      </c>
      <c r="G6" t="s">
        <v>53</v>
      </c>
      <c r="H6" t="s">
        <v>53</v>
      </c>
      <c r="I6" t="s">
        <v>53</v>
      </c>
      <c r="J6" t="s">
        <v>53</v>
      </c>
      <c r="K6" t="s">
        <v>53</v>
      </c>
      <c r="L6" t="s">
        <v>53</v>
      </c>
      <c r="M6" t="s">
        <v>53</v>
      </c>
      <c r="O6" t="s">
        <v>53</v>
      </c>
      <c r="Q6" t="s">
        <v>53</v>
      </c>
      <c r="R6" t="s">
        <v>53</v>
      </c>
      <c r="S6" t="s">
        <v>53</v>
      </c>
      <c r="T6" t="s">
        <v>53</v>
      </c>
      <c r="V6" t="s">
        <v>53</v>
      </c>
      <c r="X6" t="s">
        <v>53</v>
      </c>
      <c r="Y6" cm="1">
        <f t="array" ref="Y6">SUM(IF(C6:X6="X", 1, 0))</f>
        <v>16</v>
      </c>
    </row>
    <row r="7" spans="1:25" x14ac:dyDescent="0.2">
      <c r="A7" t="s">
        <v>9</v>
      </c>
      <c r="B7" t="s">
        <v>114</v>
      </c>
      <c r="C7" t="s">
        <v>53</v>
      </c>
      <c r="D7" t="s">
        <v>53</v>
      </c>
      <c r="E7" t="s">
        <v>53</v>
      </c>
      <c r="J7" t="s">
        <v>53</v>
      </c>
      <c r="K7" t="s">
        <v>53</v>
      </c>
      <c r="L7" t="s">
        <v>53</v>
      </c>
      <c r="N7" t="s">
        <v>53</v>
      </c>
      <c r="O7" t="s">
        <v>53</v>
      </c>
      <c r="P7" t="s">
        <v>43</v>
      </c>
      <c r="Q7" t="s">
        <v>53</v>
      </c>
      <c r="R7" t="s">
        <v>43</v>
      </c>
      <c r="S7" t="s">
        <v>53</v>
      </c>
      <c r="V7" t="s">
        <v>53</v>
      </c>
      <c r="X7" t="s">
        <v>53</v>
      </c>
      <c r="Y7" cm="1">
        <f t="array" ref="Y7">SUM(IF(C7:X7="X", 1, 0))</f>
        <v>12</v>
      </c>
    </row>
    <row r="8" spans="1:25" x14ac:dyDescent="0.2">
      <c r="A8" s="8" t="s">
        <v>10</v>
      </c>
      <c r="B8" t="s">
        <v>114</v>
      </c>
      <c r="C8" t="s">
        <v>53</v>
      </c>
      <c r="D8" t="s">
        <v>53</v>
      </c>
      <c r="E8" t="s">
        <v>53</v>
      </c>
      <c r="F8" t="s">
        <v>53</v>
      </c>
      <c r="G8" t="s">
        <v>53</v>
      </c>
      <c r="H8" t="s">
        <v>53</v>
      </c>
      <c r="J8" t="s">
        <v>53</v>
      </c>
      <c r="K8" t="s">
        <v>53</v>
      </c>
      <c r="L8" t="s">
        <v>43</v>
      </c>
      <c r="M8" t="s">
        <v>53</v>
      </c>
      <c r="N8" t="s">
        <v>53</v>
      </c>
      <c r="O8" t="s">
        <v>53</v>
      </c>
      <c r="P8" t="s">
        <v>53</v>
      </c>
      <c r="Q8" t="s">
        <v>53</v>
      </c>
      <c r="R8" t="s">
        <v>53</v>
      </c>
      <c r="T8" t="s">
        <v>53</v>
      </c>
      <c r="W8" t="s">
        <v>53</v>
      </c>
      <c r="X8" t="s">
        <v>53</v>
      </c>
      <c r="Y8" cm="1">
        <f t="array" ref="Y8">SUM(IF(C8:X8="X", 1, 0))</f>
        <v>17</v>
      </c>
    </row>
    <row r="9" spans="1:25" x14ac:dyDescent="0.2">
      <c r="A9" s="9" t="s">
        <v>54</v>
      </c>
      <c r="B9" t="s">
        <v>114</v>
      </c>
      <c r="C9" t="s">
        <v>53</v>
      </c>
      <c r="D9" t="s">
        <v>53</v>
      </c>
      <c r="E9" t="s">
        <v>53</v>
      </c>
      <c r="G9" t="s">
        <v>53</v>
      </c>
      <c r="H9" t="s">
        <v>53</v>
      </c>
      <c r="I9" t="s">
        <v>53</v>
      </c>
      <c r="J9" t="s">
        <v>53</v>
      </c>
      <c r="K9" t="s">
        <v>53</v>
      </c>
      <c r="L9" t="s">
        <v>43</v>
      </c>
      <c r="M9" t="s">
        <v>53</v>
      </c>
      <c r="N9" t="s">
        <v>53</v>
      </c>
      <c r="O9" t="s">
        <v>53</v>
      </c>
      <c r="P9" t="s">
        <v>43</v>
      </c>
      <c r="Q9" t="s">
        <v>53</v>
      </c>
      <c r="R9" t="s">
        <v>53</v>
      </c>
      <c r="T9" t="s">
        <v>53</v>
      </c>
      <c r="U9" t="s">
        <v>53</v>
      </c>
      <c r="V9" t="s">
        <v>53</v>
      </c>
      <c r="X9" t="s">
        <v>43</v>
      </c>
      <c r="Y9" cm="1">
        <f t="array" ref="Y9">SUM(IF(C9:X9="X", 1, 0))</f>
        <v>16</v>
      </c>
    </row>
    <row r="10" spans="1:25" x14ac:dyDescent="0.2">
      <c r="A10" t="s">
        <v>11</v>
      </c>
      <c r="B10" t="s">
        <v>114</v>
      </c>
      <c r="C10" t="s">
        <v>53</v>
      </c>
      <c r="D10" t="s">
        <v>53</v>
      </c>
      <c r="E10" t="s">
        <v>53</v>
      </c>
      <c r="G10" t="s">
        <v>53</v>
      </c>
      <c r="H10" t="s">
        <v>53</v>
      </c>
      <c r="J10" t="s">
        <v>53</v>
      </c>
      <c r="N10" t="s">
        <v>53</v>
      </c>
      <c r="O10" t="s">
        <v>53</v>
      </c>
      <c r="P10" t="s">
        <v>43</v>
      </c>
      <c r="Q10" t="s">
        <v>53</v>
      </c>
      <c r="R10" t="s">
        <v>53</v>
      </c>
      <c r="T10" t="s">
        <v>53</v>
      </c>
      <c r="U10" t="s">
        <v>53</v>
      </c>
      <c r="W10" t="s">
        <v>53</v>
      </c>
      <c r="X10" t="s">
        <v>53</v>
      </c>
      <c r="Y10" cm="1">
        <f t="array" ref="Y10">SUM(IF(C10:X10="X", 1, 0))</f>
        <v>14</v>
      </c>
    </row>
    <row r="11" spans="1:25" x14ac:dyDescent="0.2">
      <c r="A11" s="9" t="s">
        <v>12</v>
      </c>
      <c r="B11" t="s">
        <v>114</v>
      </c>
      <c r="C11" t="s">
        <v>53</v>
      </c>
      <c r="D11" t="s">
        <v>53</v>
      </c>
      <c r="E11" t="s">
        <v>53</v>
      </c>
      <c r="G11" t="s">
        <v>53</v>
      </c>
      <c r="H11" t="s">
        <v>53</v>
      </c>
      <c r="I11" t="s">
        <v>53</v>
      </c>
      <c r="J11" t="s">
        <v>53</v>
      </c>
      <c r="K11" t="s">
        <v>53</v>
      </c>
      <c r="L11" t="s">
        <v>53</v>
      </c>
      <c r="N11" t="s">
        <v>53</v>
      </c>
      <c r="O11" t="s">
        <v>53</v>
      </c>
      <c r="P11" t="s">
        <v>43</v>
      </c>
      <c r="Q11" t="s">
        <v>53</v>
      </c>
      <c r="R11" t="s">
        <v>53</v>
      </c>
      <c r="S11" t="s">
        <v>53</v>
      </c>
      <c r="T11" t="s">
        <v>53</v>
      </c>
      <c r="X11" t="s">
        <v>43</v>
      </c>
      <c r="Y11" cm="1">
        <f t="array" ref="Y11">SUM(IF(C11:X11="X", 1, 0))</f>
        <v>15</v>
      </c>
    </row>
    <row r="12" spans="1:25" x14ac:dyDescent="0.2">
      <c r="A12" s="9" t="s">
        <v>13</v>
      </c>
      <c r="B12" t="s">
        <v>114</v>
      </c>
      <c r="C12" t="s">
        <v>53</v>
      </c>
      <c r="D12" t="s">
        <v>53</v>
      </c>
      <c r="F12" t="s">
        <v>53</v>
      </c>
      <c r="G12" t="s">
        <v>43</v>
      </c>
      <c r="H12" t="s">
        <v>53</v>
      </c>
      <c r="I12" t="s">
        <v>53</v>
      </c>
      <c r="J12" t="s">
        <v>53</v>
      </c>
      <c r="K12" t="s">
        <v>53</v>
      </c>
      <c r="M12" t="s">
        <v>53</v>
      </c>
      <c r="N12" t="s">
        <v>53</v>
      </c>
      <c r="O12" t="s">
        <v>53</v>
      </c>
      <c r="P12" t="s">
        <v>43</v>
      </c>
      <c r="Q12" t="s">
        <v>53</v>
      </c>
      <c r="R12" t="s">
        <v>53</v>
      </c>
      <c r="T12" t="s">
        <v>53</v>
      </c>
      <c r="W12" t="s">
        <v>43</v>
      </c>
      <c r="X12" t="s">
        <v>43</v>
      </c>
      <c r="Y12" cm="1">
        <f t="array" ref="Y12">SUM(IF(C12:X12="X", 1, 0))</f>
        <v>13</v>
      </c>
    </row>
    <row r="13" spans="1:25" x14ac:dyDescent="0.2">
      <c r="A13" t="s">
        <v>57</v>
      </c>
      <c r="B13" t="s">
        <v>114</v>
      </c>
      <c r="C13" t="s">
        <v>53</v>
      </c>
      <c r="D13" t="s">
        <v>53</v>
      </c>
      <c r="G13" t="s">
        <v>53</v>
      </c>
      <c r="J13" t="s">
        <v>53</v>
      </c>
      <c r="K13" t="s">
        <v>53</v>
      </c>
      <c r="L13" t="s">
        <v>53</v>
      </c>
      <c r="M13" t="s">
        <v>53</v>
      </c>
      <c r="N13" t="s">
        <v>53</v>
      </c>
      <c r="O13" t="s">
        <v>53</v>
      </c>
      <c r="P13" t="s">
        <v>43</v>
      </c>
      <c r="Q13" t="s">
        <v>53</v>
      </c>
      <c r="R13" t="s">
        <v>53</v>
      </c>
      <c r="S13" t="s">
        <v>53</v>
      </c>
      <c r="V13" t="s">
        <v>53</v>
      </c>
      <c r="X13" t="s">
        <v>43</v>
      </c>
      <c r="Y13" cm="1">
        <f t="array" ref="Y13">SUM(IF(C13:X13="X", 1, 0))</f>
        <v>13</v>
      </c>
    </row>
    <row r="14" spans="1:25" x14ac:dyDescent="0.2">
      <c r="A14" t="s">
        <v>14</v>
      </c>
      <c r="B14" t="s">
        <v>114</v>
      </c>
      <c r="C14" t="s">
        <v>53</v>
      </c>
      <c r="D14" t="s">
        <v>53</v>
      </c>
      <c r="G14" t="s">
        <v>53</v>
      </c>
      <c r="H14" t="s">
        <v>53</v>
      </c>
      <c r="K14" t="s">
        <v>53</v>
      </c>
      <c r="L14" t="s">
        <v>43</v>
      </c>
      <c r="M14" t="s">
        <v>53</v>
      </c>
      <c r="N14" t="s">
        <v>53</v>
      </c>
      <c r="O14" t="s">
        <v>53</v>
      </c>
      <c r="Q14" t="s">
        <v>53</v>
      </c>
      <c r="R14" t="s">
        <v>53</v>
      </c>
      <c r="T14" t="s">
        <v>53</v>
      </c>
      <c r="U14" t="s">
        <v>53</v>
      </c>
      <c r="V14" t="s">
        <v>53</v>
      </c>
      <c r="X14" t="s">
        <v>43</v>
      </c>
      <c r="Y14" cm="1">
        <f t="array" ref="Y14">SUM(IF(C14:X14="X", 1, 0))</f>
        <v>13</v>
      </c>
    </row>
    <row r="15" spans="1:25" x14ac:dyDescent="0.2">
      <c r="A15" s="9" t="s">
        <v>15</v>
      </c>
      <c r="B15" t="s">
        <v>114</v>
      </c>
      <c r="C15" t="s">
        <v>53</v>
      </c>
      <c r="D15" t="s">
        <v>53</v>
      </c>
      <c r="E15" t="s">
        <v>53</v>
      </c>
      <c r="F15" t="s">
        <v>53</v>
      </c>
      <c r="H15" t="s">
        <v>53</v>
      </c>
      <c r="J15" t="s">
        <v>53</v>
      </c>
      <c r="K15" t="s">
        <v>53</v>
      </c>
      <c r="L15" t="s">
        <v>43</v>
      </c>
      <c r="M15" t="s">
        <v>53</v>
      </c>
      <c r="N15" t="s">
        <v>53</v>
      </c>
      <c r="O15" t="s">
        <v>53</v>
      </c>
      <c r="Q15" t="s">
        <v>53</v>
      </c>
      <c r="R15" t="s">
        <v>53</v>
      </c>
      <c r="S15" t="s">
        <v>43</v>
      </c>
      <c r="T15" t="s">
        <v>53</v>
      </c>
      <c r="V15" t="s">
        <v>53</v>
      </c>
      <c r="X15" t="s">
        <v>43</v>
      </c>
      <c r="Y15" cm="1">
        <f t="array" ref="Y15">SUM(IF(C15:X15="X", 1, 0))</f>
        <v>14</v>
      </c>
    </row>
    <row r="16" spans="1:25" x14ac:dyDescent="0.2">
      <c r="A16" t="s">
        <v>16</v>
      </c>
      <c r="B16" t="s">
        <v>114</v>
      </c>
      <c r="C16" t="s">
        <v>53</v>
      </c>
      <c r="D16" t="s">
        <v>53</v>
      </c>
      <c r="G16" t="s">
        <v>53</v>
      </c>
      <c r="J16" t="s">
        <v>53</v>
      </c>
      <c r="K16" t="s">
        <v>53</v>
      </c>
      <c r="L16" t="s">
        <v>43</v>
      </c>
      <c r="M16" t="s">
        <v>53</v>
      </c>
      <c r="N16" t="s">
        <v>53</v>
      </c>
      <c r="O16" t="s">
        <v>53</v>
      </c>
      <c r="P16" t="s">
        <v>43</v>
      </c>
      <c r="Q16" t="s">
        <v>53</v>
      </c>
      <c r="R16" t="s">
        <v>53</v>
      </c>
      <c r="T16" t="s">
        <v>53</v>
      </c>
      <c r="X16" t="s">
        <v>53</v>
      </c>
      <c r="Y16" cm="1">
        <f t="array" ref="Y16">SUM(IF(C16:X16="X", 1, 0))</f>
        <v>12</v>
      </c>
    </row>
    <row r="17" spans="1:25" x14ac:dyDescent="0.2">
      <c r="A17" t="s">
        <v>17</v>
      </c>
      <c r="B17" t="s">
        <v>114</v>
      </c>
      <c r="D17" t="s">
        <v>53</v>
      </c>
      <c r="H17" t="s">
        <v>53</v>
      </c>
      <c r="J17" t="s">
        <v>53</v>
      </c>
      <c r="K17" t="s">
        <v>53</v>
      </c>
      <c r="M17" t="s">
        <v>53</v>
      </c>
      <c r="N17" t="s">
        <v>53</v>
      </c>
      <c r="O17" t="s">
        <v>53</v>
      </c>
      <c r="P17" t="s">
        <v>53</v>
      </c>
      <c r="Q17" t="s">
        <v>53</v>
      </c>
      <c r="R17" t="s">
        <v>53</v>
      </c>
      <c r="T17" t="s">
        <v>53</v>
      </c>
      <c r="V17" t="s">
        <v>53</v>
      </c>
      <c r="Y17" cm="1">
        <f t="array" ref="Y17">SUM(IF(C17:X17="X", 1, 0))</f>
        <v>12</v>
      </c>
    </row>
    <row r="18" spans="1:25" x14ac:dyDescent="0.2">
      <c r="A18" t="s">
        <v>18</v>
      </c>
      <c r="B18" t="s">
        <v>114</v>
      </c>
      <c r="C18" t="s">
        <v>53</v>
      </c>
      <c r="D18" t="s">
        <v>53</v>
      </c>
      <c r="H18" t="s">
        <v>53</v>
      </c>
      <c r="I18" t="s">
        <v>53</v>
      </c>
      <c r="K18" t="s">
        <v>53</v>
      </c>
      <c r="L18" t="s">
        <v>53</v>
      </c>
      <c r="M18" t="s">
        <v>53</v>
      </c>
      <c r="N18" t="s">
        <v>53</v>
      </c>
      <c r="O18" t="s">
        <v>53</v>
      </c>
      <c r="P18" t="s">
        <v>43</v>
      </c>
      <c r="Q18" t="s">
        <v>53</v>
      </c>
      <c r="R18" t="s">
        <v>53</v>
      </c>
      <c r="T18" t="s">
        <v>53</v>
      </c>
      <c r="W18" t="s">
        <v>53</v>
      </c>
      <c r="X18" t="s">
        <v>53</v>
      </c>
      <c r="Y18" cm="1">
        <f t="array" ref="Y18">SUM(IF(C18:X18="X", 1, 0))</f>
        <v>14</v>
      </c>
    </row>
    <row r="19" spans="1:25" x14ac:dyDescent="0.2">
      <c r="A19" s="9" t="s">
        <v>19</v>
      </c>
      <c r="B19" t="s">
        <v>114</v>
      </c>
      <c r="C19" t="s">
        <v>53</v>
      </c>
      <c r="D19" t="s">
        <v>53</v>
      </c>
      <c r="E19" t="s">
        <v>53</v>
      </c>
      <c r="G19" t="s">
        <v>53</v>
      </c>
      <c r="H19" t="s">
        <v>53</v>
      </c>
      <c r="I19" t="s">
        <v>53</v>
      </c>
      <c r="J19" t="s">
        <v>53</v>
      </c>
      <c r="K19" t="s">
        <v>53</v>
      </c>
      <c r="L19" t="s">
        <v>43</v>
      </c>
      <c r="M19" t="s">
        <v>53</v>
      </c>
      <c r="N19" t="s">
        <v>53</v>
      </c>
      <c r="O19" t="s">
        <v>53</v>
      </c>
      <c r="P19" t="s">
        <v>43</v>
      </c>
      <c r="R19" t="s">
        <v>53</v>
      </c>
      <c r="S19" t="s">
        <v>43</v>
      </c>
      <c r="V19" t="s">
        <v>53</v>
      </c>
      <c r="X19" t="s">
        <v>43</v>
      </c>
      <c r="Y19" cm="1">
        <f t="array" ref="Y19">SUM(IF(C19:X19="X", 1, 0))</f>
        <v>13</v>
      </c>
    </row>
    <row r="20" spans="1:25" x14ac:dyDescent="0.2">
      <c r="A20" s="9" t="s">
        <v>20</v>
      </c>
      <c r="B20" t="s">
        <v>114</v>
      </c>
      <c r="C20" t="s">
        <v>53</v>
      </c>
      <c r="D20" t="s">
        <v>53</v>
      </c>
      <c r="E20" t="s">
        <v>53</v>
      </c>
      <c r="F20" t="s">
        <v>53</v>
      </c>
      <c r="G20" t="s">
        <v>53</v>
      </c>
      <c r="H20" t="s">
        <v>53</v>
      </c>
      <c r="I20" t="s">
        <v>53</v>
      </c>
      <c r="K20" t="s">
        <v>53</v>
      </c>
      <c r="L20" t="s">
        <v>43</v>
      </c>
      <c r="M20" t="s">
        <v>53</v>
      </c>
      <c r="N20" t="s">
        <v>53</v>
      </c>
      <c r="O20" t="s">
        <v>53</v>
      </c>
      <c r="P20" t="s">
        <v>43</v>
      </c>
      <c r="Q20" t="s">
        <v>53</v>
      </c>
      <c r="R20" t="s">
        <v>53</v>
      </c>
      <c r="S20" t="s">
        <v>53</v>
      </c>
      <c r="U20" t="s">
        <v>53</v>
      </c>
      <c r="X20" t="s">
        <v>43</v>
      </c>
      <c r="Y20" cm="1">
        <f t="array" ref="Y20">SUM(IF(C20:X20="X", 1, 0))</f>
        <v>15</v>
      </c>
    </row>
    <row r="21" spans="1:25" x14ac:dyDescent="0.2">
      <c r="A21" t="s">
        <v>21</v>
      </c>
      <c r="B21" t="s">
        <v>114</v>
      </c>
      <c r="C21" t="s">
        <v>53</v>
      </c>
      <c r="D21" t="s">
        <v>53</v>
      </c>
      <c r="E21" t="s">
        <v>53</v>
      </c>
      <c r="F21" t="s">
        <v>53</v>
      </c>
      <c r="G21" t="s">
        <v>53</v>
      </c>
      <c r="H21" t="s">
        <v>53</v>
      </c>
      <c r="J21" t="s">
        <v>53</v>
      </c>
      <c r="N21" t="s">
        <v>53</v>
      </c>
      <c r="O21" t="s">
        <v>53</v>
      </c>
      <c r="P21" t="s">
        <v>43</v>
      </c>
      <c r="Q21" t="s">
        <v>53</v>
      </c>
      <c r="R21" t="s">
        <v>53</v>
      </c>
      <c r="S21" t="s">
        <v>53</v>
      </c>
      <c r="T21" t="s">
        <v>53</v>
      </c>
      <c r="V21" t="s">
        <v>53</v>
      </c>
      <c r="X21" t="s">
        <v>53</v>
      </c>
      <c r="Y21" cm="1">
        <f t="array" ref="Y21">SUM(IF(C21:X21="X", 1, 0))</f>
        <v>15</v>
      </c>
    </row>
    <row r="22" spans="1:25" x14ac:dyDescent="0.2">
      <c r="A22" t="s">
        <v>22</v>
      </c>
      <c r="B22" t="s">
        <v>114</v>
      </c>
      <c r="C22" t="s">
        <v>53</v>
      </c>
      <c r="D22" t="s">
        <v>53</v>
      </c>
      <c r="H22" t="s">
        <v>53</v>
      </c>
      <c r="I22" t="s">
        <v>53</v>
      </c>
      <c r="K22" t="s">
        <v>53</v>
      </c>
      <c r="L22" t="s">
        <v>43</v>
      </c>
      <c r="M22" t="s">
        <v>53</v>
      </c>
      <c r="N22" t="s">
        <v>53</v>
      </c>
      <c r="O22" t="s">
        <v>53</v>
      </c>
      <c r="Q22" t="s">
        <v>53</v>
      </c>
      <c r="R22" t="s">
        <v>53</v>
      </c>
      <c r="S22" t="s">
        <v>53</v>
      </c>
      <c r="T22" t="s">
        <v>53</v>
      </c>
      <c r="V22" t="s">
        <v>53</v>
      </c>
      <c r="W22" t="s">
        <v>53</v>
      </c>
      <c r="X22" t="s">
        <v>43</v>
      </c>
      <c r="Y22" cm="1">
        <f t="array" ref="Y22">SUM(IF(C22:X22="X", 1, 0))</f>
        <v>14</v>
      </c>
    </row>
    <row r="23" spans="1:25" x14ac:dyDescent="0.2">
      <c r="A23" t="s">
        <v>23</v>
      </c>
      <c r="B23" t="s">
        <v>114</v>
      </c>
      <c r="C23" t="s">
        <v>53</v>
      </c>
      <c r="D23" t="s">
        <v>53</v>
      </c>
      <c r="F23" t="s">
        <v>53</v>
      </c>
      <c r="G23" t="s">
        <v>43</v>
      </c>
      <c r="K23" t="s">
        <v>53</v>
      </c>
      <c r="M23" t="s">
        <v>53</v>
      </c>
      <c r="N23" t="s">
        <v>53</v>
      </c>
      <c r="O23" t="s">
        <v>53</v>
      </c>
      <c r="Q23" t="s">
        <v>53</v>
      </c>
      <c r="R23" t="s">
        <v>53</v>
      </c>
      <c r="S23" t="s">
        <v>53</v>
      </c>
      <c r="T23" t="s">
        <v>53</v>
      </c>
      <c r="V23" t="s">
        <v>53</v>
      </c>
      <c r="X23" t="s">
        <v>43</v>
      </c>
      <c r="Y23" cm="1">
        <f t="array" ref="Y23">SUM(IF(C23:X23="X", 1, 0))</f>
        <v>12</v>
      </c>
    </row>
    <row r="24" spans="1:25" x14ac:dyDescent="0.2">
      <c r="A24" s="9" t="s">
        <v>24</v>
      </c>
      <c r="B24" t="s">
        <v>114</v>
      </c>
      <c r="C24" t="s">
        <v>53</v>
      </c>
      <c r="D24" t="s">
        <v>53</v>
      </c>
      <c r="E24" t="s">
        <v>53</v>
      </c>
      <c r="F24" t="s">
        <v>53</v>
      </c>
      <c r="G24" t="s">
        <v>53</v>
      </c>
      <c r="H24" t="s">
        <v>53</v>
      </c>
      <c r="J24" t="s">
        <v>53</v>
      </c>
      <c r="K24" t="s">
        <v>53</v>
      </c>
      <c r="L24" t="s">
        <v>53</v>
      </c>
      <c r="M24" t="s">
        <v>53</v>
      </c>
      <c r="O24" t="s">
        <v>53</v>
      </c>
      <c r="P24" t="s">
        <v>43</v>
      </c>
      <c r="Q24" t="s">
        <v>53</v>
      </c>
      <c r="R24" t="s">
        <v>53</v>
      </c>
      <c r="S24" t="s">
        <v>53</v>
      </c>
      <c r="T24" t="s">
        <v>53</v>
      </c>
      <c r="V24" t="s">
        <v>53</v>
      </c>
      <c r="X24" t="s">
        <v>43</v>
      </c>
      <c r="Y24" cm="1">
        <f t="array" ref="Y24">SUM(IF(C24:X24="X", 1, 0))</f>
        <v>16</v>
      </c>
    </row>
    <row r="25" spans="1:25" x14ac:dyDescent="0.2">
      <c r="A25" t="s">
        <v>25</v>
      </c>
      <c r="B25" t="s">
        <v>114</v>
      </c>
      <c r="C25" t="s">
        <v>53</v>
      </c>
      <c r="D25" t="s">
        <v>53</v>
      </c>
      <c r="E25" t="s">
        <v>53</v>
      </c>
      <c r="G25" t="s">
        <v>53</v>
      </c>
      <c r="H25" t="s">
        <v>53</v>
      </c>
      <c r="J25" t="s">
        <v>53</v>
      </c>
      <c r="K25" t="s">
        <v>53</v>
      </c>
      <c r="L25" t="s">
        <v>53</v>
      </c>
      <c r="M25" t="s">
        <v>53</v>
      </c>
      <c r="N25" t="s">
        <v>53</v>
      </c>
      <c r="O25" t="s">
        <v>53</v>
      </c>
      <c r="P25" t="s">
        <v>43</v>
      </c>
      <c r="Q25" t="s">
        <v>53</v>
      </c>
      <c r="R25" t="s">
        <v>53</v>
      </c>
      <c r="S25" t="s">
        <v>53</v>
      </c>
      <c r="X25" t="s">
        <v>53</v>
      </c>
      <c r="Y25" cm="1">
        <f t="array" ref="Y25">SUM(IF(C25:X25="X", 1, 0))</f>
        <v>15</v>
      </c>
    </row>
    <row r="26" spans="1:25" x14ac:dyDescent="0.2">
      <c r="A26" t="s">
        <v>26</v>
      </c>
      <c r="B26" t="s">
        <v>114</v>
      </c>
      <c r="C26" t="s">
        <v>53</v>
      </c>
      <c r="D26" t="s">
        <v>53</v>
      </c>
      <c r="H26" t="s">
        <v>53</v>
      </c>
      <c r="I26" t="s">
        <v>53</v>
      </c>
      <c r="J26" t="s">
        <v>53</v>
      </c>
      <c r="K26" t="s">
        <v>53</v>
      </c>
      <c r="L26" t="s">
        <v>53</v>
      </c>
      <c r="M26" t="s">
        <v>53</v>
      </c>
      <c r="N26" t="s">
        <v>53</v>
      </c>
      <c r="O26" t="s">
        <v>53</v>
      </c>
      <c r="Q26" t="s">
        <v>53</v>
      </c>
      <c r="R26" t="s">
        <v>53</v>
      </c>
      <c r="S26" t="s">
        <v>53</v>
      </c>
      <c r="T26" t="s">
        <v>53</v>
      </c>
      <c r="W26" t="s">
        <v>53</v>
      </c>
      <c r="X26" t="s">
        <v>43</v>
      </c>
      <c r="Y26" cm="1">
        <f t="array" ref="Y26">SUM(IF(C26:X26="X", 1, 0))</f>
        <v>15</v>
      </c>
    </row>
    <row r="27" spans="1:25" x14ac:dyDescent="0.2">
      <c r="A27" t="s">
        <v>27</v>
      </c>
      <c r="B27" t="s">
        <v>114</v>
      </c>
      <c r="C27" t="s">
        <v>53</v>
      </c>
      <c r="D27" t="s">
        <v>53</v>
      </c>
      <c r="E27" t="s">
        <v>53</v>
      </c>
      <c r="F27" t="s">
        <v>53</v>
      </c>
      <c r="G27" t="s">
        <v>53</v>
      </c>
      <c r="K27" t="s">
        <v>53</v>
      </c>
      <c r="L27" t="s">
        <v>53</v>
      </c>
      <c r="O27" t="s">
        <v>53</v>
      </c>
      <c r="P27" t="s">
        <v>43</v>
      </c>
      <c r="Q27" t="s">
        <v>53</v>
      </c>
      <c r="R27" t="s">
        <v>43</v>
      </c>
      <c r="S27" t="s">
        <v>53</v>
      </c>
      <c r="T27" t="s">
        <v>53</v>
      </c>
      <c r="X27" t="s">
        <v>53</v>
      </c>
      <c r="Y27" cm="1">
        <f t="array" ref="Y27">SUM(IF(C27:X27="X", 1, 0))</f>
        <v>12</v>
      </c>
    </row>
    <row r="28" spans="1:25" x14ac:dyDescent="0.2">
      <c r="A28" t="s">
        <v>28</v>
      </c>
      <c r="B28" t="s">
        <v>114</v>
      </c>
      <c r="C28" t="s">
        <v>53</v>
      </c>
      <c r="D28" t="s">
        <v>53</v>
      </c>
      <c r="E28" t="s">
        <v>53</v>
      </c>
      <c r="K28" t="s">
        <v>53</v>
      </c>
      <c r="L28" t="s">
        <v>53</v>
      </c>
      <c r="M28" t="s">
        <v>53</v>
      </c>
      <c r="O28" t="s">
        <v>53</v>
      </c>
      <c r="P28" t="s">
        <v>43</v>
      </c>
      <c r="Q28" t="s">
        <v>53</v>
      </c>
      <c r="R28" t="s">
        <v>53</v>
      </c>
      <c r="S28" t="s">
        <v>53</v>
      </c>
      <c r="V28" t="s">
        <v>53</v>
      </c>
      <c r="W28" t="s">
        <v>53</v>
      </c>
      <c r="Y28" cm="1">
        <f t="array" ref="Y28">SUM(IF(C28:X28="X", 1, 0))</f>
        <v>12</v>
      </c>
    </row>
    <row r="29" spans="1:25" x14ac:dyDescent="0.2">
      <c r="A29" s="8" t="s">
        <v>29</v>
      </c>
      <c r="B29" t="s">
        <v>114</v>
      </c>
      <c r="C29" t="s">
        <v>53</v>
      </c>
      <c r="D29" t="s">
        <v>53</v>
      </c>
      <c r="E29" t="s">
        <v>53</v>
      </c>
      <c r="F29" t="s">
        <v>53</v>
      </c>
      <c r="G29" t="s">
        <v>53</v>
      </c>
      <c r="H29" t="s">
        <v>53</v>
      </c>
      <c r="I29" t="s">
        <v>53</v>
      </c>
      <c r="J29" t="s">
        <v>53</v>
      </c>
      <c r="K29" t="s">
        <v>53</v>
      </c>
      <c r="L29" t="s">
        <v>53</v>
      </c>
      <c r="M29" t="s">
        <v>53</v>
      </c>
      <c r="N29" t="s">
        <v>53</v>
      </c>
      <c r="O29" t="s">
        <v>53</v>
      </c>
      <c r="P29" t="s">
        <v>43</v>
      </c>
      <c r="Q29" t="s">
        <v>53</v>
      </c>
      <c r="R29" t="s">
        <v>53</v>
      </c>
      <c r="S29" t="s">
        <v>53</v>
      </c>
      <c r="T29" t="s">
        <v>53</v>
      </c>
      <c r="V29" t="s">
        <v>53</v>
      </c>
      <c r="W29" t="s">
        <v>53</v>
      </c>
      <c r="X29" t="s">
        <v>43</v>
      </c>
      <c r="Y29" cm="1">
        <f t="array" ref="Y29">SUM(IF(C29:X29="X", 1, 0))</f>
        <v>19</v>
      </c>
    </row>
    <row r="30" spans="1:25" x14ac:dyDescent="0.2">
      <c r="A30" t="s">
        <v>30</v>
      </c>
      <c r="B30" t="s">
        <v>114</v>
      </c>
      <c r="C30" t="s">
        <v>53</v>
      </c>
      <c r="D30" t="s">
        <v>53</v>
      </c>
      <c r="G30" t="s">
        <v>53</v>
      </c>
      <c r="K30" t="s">
        <v>53</v>
      </c>
      <c r="L30" t="s">
        <v>43</v>
      </c>
      <c r="M30" t="s">
        <v>53</v>
      </c>
      <c r="N30" t="s">
        <v>53</v>
      </c>
      <c r="O30" t="s">
        <v>53</v>
      </c>
      <c r="P30" t="s">
        <v>43</v>
      </c>
      <c r="Q30" t="s">
        <v>53</v>
      </c>
      <c r="R30" t="s">
        <v>53</v>
      </c>
      <c r="T30" t="s">
        <v>53</v>
      </c>
      <c r="V30" t="s">
        <v>53</v>
      </c>
      <c r="W30" t="s">
        <v>53</v>
      </c>
      <c r="X30" t="s">
        <v>53</v>
      </c>
      <c r="Y30" cm="1">
        <f t="array" ref="Y30">SUM(IF(C30:X30="X", 1, 0))</f>
        <v>13</v>
      </c>
    </row>
    <row r="31" spans="1:25" x14ac:dyDescent="0.2">
      <c r="A31" t="s">
        <v>31</v>
      </c>
      <c r="B31" t="s">
        <v>114</v>
      </c>
      <c r="C31" t="s">
        <v>53</v>
      </c>
      <c r="D31" t="s">
        <v>53</v>
      </c>
      <c r="G31" t="s">
        <v>53</v>
      </c>
      <c r="K31" t="s">
        <v>53</v>
      </c>
      <c r="L31" t="s">
        <v>43</v>
      </c>
      <c r="M31" t="s">
        <v>53</v>
      </c>
      <c r="N31" t="s">
        <v>53</v>
      </c>
      <c r="O31" t="s">
        <v>53</v>
      </c>
      <c r="P31" t="s">
        <v>43</v>
      </c>
      <c r="Q31" t="s">
        <v>53</v>
      </c>
      <c r="R31" t="s">
        <v>53</v>
      </c>
      <c r="T31" t="s">
        <v>53</v>
      </c>
      <c r="W31" t="s">
        <v>53</v>
      </c>
      <c r="X31" t="s">
        <v>53</v>
      </c>
      <c r="Y31" cm="1">
        <f t="array" ref="Y31">SUM(IF(C31:X31="X", 1, 0))</f>
        <v>12</v>
      </c>
    </row>
    <row r="32" spans="1:25" x14ac:dyDescent="0.2">
      <c r="A32" t="s">
        <v>32</v>
      </c>
      <c r="B32" t="s">
        <v>114</v>
      </c>
      <c r="C32" t="s">
        <v>53</v>
      </c>
      <c r="D32" t="s">
        <v>53</v>
      </c>
      <c r="F32" t="s">
        <v>53</v>
      </c>
      <c r="J32" t="s">
        <v>53</v>
      </c>
      <c r="K32" t="s">
        <v>53</v>
      </c>
      <c r="L32" t="s">
        <v>43</v>
      </c>
      <c r="M32" t="s">
        <v>53</v>
      </c>
      <c r="O32" t="s">
        <v>53</v>
      </c>
      <c r="P32" t="s">
        <v>43</v>
      </c>
      <c r="Q32" t="s">
        <v>53</v>
      </c>
      <c r="R32" t="s">
        <v>53</v>
      </c>
      <c r="T32" t="s">
        <v>53</v>
      </c>
      <c r="W32" t="s">
        <v>53</v>
      </c>
      <c r="X32" t="s">
        <v>53</v>
      </c>
      <c r="Y32" cm="1">
        <f t="array" ref="Y32">SUM(IF(C32:X32="X", 1, 0))</f>
        <v>12</v>
      </c>
    </row>
    <row r="33" spans="1:25" x14ac:dyDescent="0.2">
      <c r="A33" t="s">
        <v>33</v>
      </c>
      <c r="B33" t="s">
        <v>114</v>
      </c>
      <c r="C33" t="s">
        <v>53</v>
      </c>
      <c r="D33" t="s">
        <v>53</v>
      </c>
      <c r="F33" t="s">
        <v>53</v>
      </c>
      <c r="I33" t="s">
        <v>53</v>
      </c>
      <c r="J33" t="s">
        <v>53</v>
      </c>
      <c r="L33" t="s">
        <v>43</v>
      </c>
      <c r="M33" t="s">
        <v>53</v>
      </c>
      <c r="N33" t="s">
        <v>53</v>
      </c>
      <c r="O33" t="s">
        <v>53</v>
      </c>
      <c r="Q33" t="s">
        <v>53</v>
      </c>
      <c r="R33" t="s">
        <v>53</v>
      </c>
      <c r="S33" t="s">
        <v>53</v>
      </c>
      <c r="T33" t="s">
        <v>53</v>
      </c>
      <c r="U33" t="s">
        <v>53</v>
      </c>
      <c r="V33" t="s">
        <v>53</v>
      </c>
      <c r="W33" t="s">
        <v>53</v>
      </c>
      <c r="Y33" cm="1">
        <f t="array" ref="Y33">SUM(IF(C33:X33="X", 1, 0))</f>
        <v>15</v>
      </c>
    </row>
    <row r="34" spans="1:25" x14ac:dyDescent="0.2">
      <c r="A34" t="s">
        <v>34</v>
      </c>
      <c r="B34" t="s">
        <v>115</v>
      </c>
      <c r="C34" t="s">
        <v>53</v>
      </c>
      <c r="D34" t="s">
        <v>53</v>
      </c>
      <c r="E34" t="s">
        <v>53</v>
      </c>
      <c r="F34" t="s">
        <v>53</v>
      </c>
      <c r="G34" t="s">
        <v>53</v>
      </c>
      <c r="H34" t="s">
        <v>53</v>
      </c>
      <c r="I34" t="s">
        <v>53</v>
      </c>
      <c r="J34" t="s">
        <v>53</v>
      </c>
      <c r="K34" t="s">
        <v>53</v>
      </c>
      <c r="L34" t="s">
        <v>53</v>
      </c>
      <c r="M34" t="s">
        <v>53</v>
      </c>
      <c r="N34" t="s">
        <v>53</v>
      </c>
      <c r="O34" t="s">
        <v>53</v>
      </c>
      <c r="P34" t="s">
        <v>53</v>
      </c>
      <c r="R34" t="s">
        <v>53</v>
      </c>
      <c r="S34" t="s">
        <v>53</v>
      </c>
      <c r="T34" t="s">
        <v>53</v>
      </c>
      <c r="U34" t="s">
        <v>53</v>
      </c>
      <c r="V34" t="s">
        <v>53</v>
      </c>
      <c r="W34" t="s">
        <v>53</v>
      </c>
      <c r="X34" t="s">
        <v>53</v>
      </c>
      <c r="Y34" cm="1">
        <f t="array" ref="Y34">SUM(IF(C34:X34="X", 1, 0))</f>
        <v>21</v>
      </c>
    </row>
    <row r="35" spans="1:25" x14ac:dyDescent="0.2">
      <c r="A35" t="s">
        <v>35</v>
      </c>
      <c r="B35" t="s">
        <v>115</v>
      </c>
      <c r="C35" t="s">
        <v>53</v>
      </c>
      <c r="D35" t="s">
        <v>53</v>
      </c>
      <c r="F35" t="s">
        <v>53</v>
      </c>
      <c r="G35" t="s">
        <v>53</v>
      </c>
      <c r="H35" t="s">
        <v>53</v>
      </c>
      <c r="J35" t="s">
        <v>53</v>
      </c>
      <c r="K35" t="s">
        <v>53</v>
      </c>
      <c r="L35" t="s">
        <v>53</v>
      </c>
      <c r="M35" t="s">
        <v>53</v>
      </c>
      <c r="N35" t="s">
        <v>53</v>
      </c>
      <c r="O35" t="s">
        <v>53</v>
      </c>
      <c r="P35" t="s">
        <v>53</v>
      </c>
      <c r="Q35" t="s">
        <v>53</v>
      </c>
      <c r="R35" t="s">
        <v>53</v>
      </c>
      <c r="S35" t="s">
        <v>53</v>
      </c>
      <c r="T35" t="s">
        <v>53</v>
      </c>
      <c r="U35" t="s">
        <v>53</v>
      </c>
      <c r="V35" t="s">
        <v>53</v>
      </c>
      <c r="W35" t="s">
        <v>53</v>
      </c>
      <c r="X35" t="s">
        <v>53</v>
      </c>
      <c r="Y35" cm="1">
        <f t="array" ref="Y35">SUM(IF(C35:X35="X", 1, 0))</f>
        <v>20</v>
      </c>
    </row>
    <row r="36" spans="1:25" x14ac:dyDescent="0.2">
      <c r="A36" t="s">
        <v>36</v>
      </c>
      <c r="B36" t="s">
        <v>115</v>
      </c>
      <c r="C36" t="s">
        <v>53</v>
      </c>
      <c r="D36" t="s">
        <v>53</v>
      </c>
      <c r="E36" t="s">
        <v>53</v>
      </c>
      <c r="F36" t="s">
        <v>53</v>
      </c>
      <c r="G36" t="s">
        <v>53</v>
      </c>
      <c r="H36" t="s">
        <v>53</v>
      </c>
      <c r="I36" t="s">
        <v>53</v>
      </c>
      <c r="J36" t="s">
        <v>53</v>
      </c>
      <c r="L36" t="s">
        <v>53</v>
      </c>
      <c r="M36" t="s">
        <v>53</v>
      </c>
      <c r="N36" t="s">
        <v>53</v>
      </c>
      <c r="Q36" t="s">
        <v>53</v>
      </c>
      <c r="R36" t="s">
        <v>53</v>
      </c>
      <c r="S36" t="s">
        <v>53</v>
      </c>
      <c r="T36" t="s">
        <v>53</v>
      </c>
      <c r="V36" t="s">
        <v>53</v>
      </c>
      <c r="W36" t="s">
        <v>53</v>
      </c>
      <c r="X36" t="s">
        <v>53</v>
      </c>
      <c r="Y36" cm="1">
        <f t="array" ref="Y36">SUM(IF(C36:X36="X", 1, 0))</f>
        <v>18</v>
      </c>
    </row>
    <row r="37" spans="1:25" x14ac:dyDescent="0.2">
      <c r="A37" t="s">
        <v>37</v>
      </c>
      <c r="B37" t="s">
        <v>115</v>
      </c>
      <c r="C37" t="s">
        <v>53</v>
      </c>
      <c r="D37" t="s">
        <v>53</v>
      </c>
      <c r="E37" t="s">
        <v>53</v>
      </c>
      <c r="F37" t="s">
        <v>53</v>
      </c>
      <c r="G37" t="s">
        <v>53</v>
      </c>
      <c r="H37" t="s">
        <v>53</v>
      </c>
      <c r="L37" t="s">
        <v>53</v>
      </c>
      <c r="M37" t="s">
        <v>53</v>
      </c>
      <c r="N37" t="s">
        <v>53</v>
      </c>
      <c r="O37" t="s">
        <v>53</v>
      </c>
      <c r="P37" t="s">
        <v>53</v>
      </c>
      <c r="S37" t="s">
        <v>53</v>
      </c>
      <c r="T37" t="s">
        <v>53</v>
      </c>
      <c r="U37" t="s">
        <v>53</v>
      </c>
      <c r="V37" t="s">
        <v>53</v>
      </c>
      <c r="W37" t="s">
        <v>53</v>
      </c>
      <c r="X37" t="s">
        <v>53</v>
      </c>
      <c r="Y37" cm="1">
        <f t="array" ref="Y37">SUM(IF(C37:X37="X", 1, 0))</f>
        <v>17</v>
      </c>
    </row>
    <row r="38" spans="1:25" x14ac:dyDescent="0.2">
      <c r="A38" t="s">
        <v>38</v>
      </c>
      <c r="B38" t="s">
        <v>115</v>
      </c>
      <c r="C38" t="s">
        <v>53</v>
      </c>
      <c r="D38" t="s">
        <v>53</v>
      </c>
      <c r="E38" t="s">
        <v>53</v>
      </c>
      <c r="F38" t="s">
        <v>53</v>
      </c>
      <c r="G38" t="s">
        <v>53</v>
      </c>
      <c r="H38" t="s">
        <v>53</v>
      </c>
      <c r="I38" t="s">
        <v>53</v>
      </c>
      <c r="J38" t="s">
        <v>53</v>
      </c>
      <c r="K38" t="s">
        <v>53</v>
      </c>
      <c r="L38" t="s">
        <v>53</v>
      </c>
      <c r="M38" t="s">
        <v>53</v>
      </c>
      <c r="N38" t="s">
        <v>53</v>
      </c>
      <c r="O38" t="s">
        <v>53</v>
      </c>
      <c r="P38" t="s">
        <v>53</v>
      </c>
      <c r="T38" t="s">
        <v>53</v>
      </c>
      <c r="V38" t="s">
        <v>53</v>
      </c>
      <c r="W38" t="s">
        <v>53</v>
      </c>
      <c r="X38" t="s">
        <v>53</v>
      </c>
      <c r="Y38" cm="1">
        <f t="array" ref="Y38">SUM(IF(C38:X38="X", 1, 0))</f>
        <v>18</v>
      </c>
    </row>
    <row r="39" spans="1:25" x14ac:dyDescent="0.2">
      <c r="A39" t="s">
        <v>39</v>
      </c>
      <c r="B39" t="s">
        <v>115</v>
      </c>
      <c r="C39" t="s">
        <v>53</v>
      </c>
      <c r="D39" t="s">
        <v>53</v>
      </c>
      <c r="H39" t="s">
        <v>53</v>
      </c>
      <c r="I39" t="s">
        <v>53</v>
      </c>
      <c r="J39" t="s">
        <v>53</v>
      </c>
      <c r="K39" t="s">
        <v>53</v>
      </c>
      <c r="L39" t="s">
        <v>53</v>
      </c>
      <c r="M39" t="s">
        <v>53</v>
      </c>
      <c r="N39" t="s">
        <v>53</v>
      </c>
      <c r="O39" t="s">
        <v>53</v>
      </c>
      <c r="S39" t="s">
        <v>53</v>
      </c>
      <c r="T39" t="s">
        <v>53</v>
      </c>
      <c r="V39" t="s">
        <v>53</v>
      </c>
      <c r="W39" t="s">
        <v>53</v>
      </c>
      <c r="X39" t="s">
        <v>53</v>
      </c>
      <c r="Y39" cm="1">
        <f t="array" ref="Y39">SUM(IF(C39:X39="X", 1, 0))</f>
        <v>15</v>
      </c>
    </row>
    <row r="40" spans="1:25" x14ac:dyDescent="0.2">
      <c r="A40" t="s">
        <v>40</v>
      </c>
      <c r="B40" t="s">
        <v>115</v>
      </c>
      <c r="C40" t="s">
        <v>53</v>
      </c>
      <c r="D40" t="s">
        <v>53</v>
      </c>
      <c r="G40" t="s">
        <v>53</v>
      </c>
      <c r="K40" t="s">
        <v>53</v>
      </c>
      <c r="L40" t="s">
        <v>53</v>
      </c>
      <c r="M40" t="s">
        <v>53</v>
      </c>
      <c r="N40" t="s">
        <v>53</v>
      </c>
      <c r="O40" t="s">
        <v>53</v>
      </c>
      <c r="P40" t="s">
        <v>53</v>
      </c>
      <c r="R40" t="s">
        <v>53</v>
      </c>
      <c r="S40" t="s">
        <v>53</v>
      </c>
      <c r="T40" t="s">
        <v>53</v>
      </c>
      <c r="U40" t="s">
        <v>53</v>
      </c>
      <c r="V40" t="s">
        <v>53</v>
      </c>
      <c r="W40" t="s">
        <v>53</v>
      </c>
      <c r="X40" t="s">
        <v>53</v>
      </c>
      <c r="Y40" cm="1">
        <f t="array" ref="Y40">SUM(IF(C40:X40="X", 1, 0))</f>
        <v>16</v>
      </c>
    </row>
    <row r="41" spans="1:25" x14ac:dyDescent="0.2">
      <c r="A41" t="s">
        <v>41</v>
      </c>
      <c r="B41" t="s">
        <v>115</v>
      </c>
      <c r="C41" t="s">
        <v>53</v>
      </c>
      <c r="D41" t="s">
        <v>53</v>
      </c>
      <c r="G41" t="s">
        <v>53</v>
      </c>
      <c r="H41" t="s">
        <v>53</v>
      </c>
      <c r="K41" t="s">
        <v>53</v>
      </c>
      <c r="L41" t="s">
        <v>53</v>
      </c>
      <c r="M41" t="s">
        <v>53</v>
      </c>
      <c r="N41" t="s">
        <v>53</v>
      </c>
      <c r="O41" t="s">
        <v>53</v>
      </c>
      <c r="P41" t="s">
        <v>53</v>
      </c>
      <c r="Q41" t="s">
        <v>53</v>
      </c>
      <c r="V41" t="s">
        <v>53</v>
      </c>
      <c r="X41" t="s">
        <v>53</v>
      </c>
      <c r="Y41" cm="1">
        <f t="array" ref="Y41">SUM(IF(C41:X41="X", 1, 0))</f>
        <v>13</v>
      </c>
    </row>
    <row r="42" spans="1:25" x14ac:dyDescent="0.2">
      <c r="A42" t="s">
        <v>42</v>
      </c>
      <c r="B42" t="s">
        <v>115</v>
      </c>
      <c r="C42" t="s">
        <v>53</v>
      </c>
      <c r="G42" t="s">
        <v>53</v>
      </c>
      <c r="H42" t="s">
        <v>53</v>
      </c>
      <c r="I42" t="s">
        <v>53</v>
      </c>
      <c r="J42" t="s">
        <v>53</v>
      </c>
      <c r="M42" t="s">
        <v>53</v>
      </c>
      <c r="O42" t="s">
        <v>53</v>
      </c>
      <c r="R42" t="s">
        <v>53</v>
      </c>
      <c r="S42" t="s">
        <v>53</v>
      </c>
      <c r="T42" t="s">
        <v>53</v>
      </c>
      <c r="W42" t="s">
        <v>53</v>
      </c>
      <c r="X42" t="s">
        <v>53</v>
      </c>
      <c r="Y42" cm="1">
        <f t="array" ref="Y42">SUM(IF(C42:X42="X", 1, 0))</f>
        <v>12</v>
      </c>
    </row>
    <row r="43" spans="1:25" x14ac:dyDescent="0.2">
      <c r="A43" t="s">
        <v>44</v>
      </c>
      <c r="B43" t="s">
        <v>115</v>
      </c>
      <c r="C43" t="s">
        <v>53</v>
      </c>
      <c r="E43" t="s">
        <v>53</v>
      </c>
      <c r="F43" t="s">
        <v>53</v>
      </c>
      <c r="G43" t="s">
        <v>53</v>
      </c>
      <c r="H43" t="s">
        <v>53</v>
      </c>
      <c r="I43" t="s">
        <v>53</v>
      </c>
      <c r="J43" t="s">
        <v>53</v>
      </c>
      <c r="K43" t="s">
        <v>53</v>
      </c>
      <c r="L43" t="s">
        <v>53</v>
      </c>
      <c r="M43" t="s">
        <v>53</v>
      </c>
      <c r="O43" t="s">
        <v>53</v>
      </c>
      <c r="P43" t="s">
        <v>53</v>
      </c>
      <c r="Q43" t="s">
        <v>53</v>
      </c>
      <c r="S43" t="s">
        <v>53</v>
      </c>
      <c r="T43" t="s">
        <v>53</v>
      </c>
      <c r="U43" t="s">
        <v>53</v>
      </c>
      <c r="V43" t="s">
        <v>53</v>
      </c>
      <c r="W43" t="s">
        <v>53</v>
      </c>
      <c r="X43" t="s">
        <v>53</v>
      </c>
      <c r="Y43" cm="1">
        <f t="array" ref="Y43">SUM(IF(C43:X43="X", 1, 0))</f>
        <v>19</v>
      </c>
    </row>
    <row r="44" spans="1:25" x14ac:dyDescent="0.2">
      <c r="A44" t="s">
        <v>46</v>
      </c>
      <c r="B44" t="s">
        <v>115</v>
      </c>
      <c r="C44" t="s">
        <v>53</v>
      </c>
      <c r="E44" t="s">
        <v>53</v>
      </c>
      <c r="G44" t="s">
        <v>53</v>
      </c>
      <c r="H44" t="s">
        <v>53</v>
      </c>
      <c r="I44" t="s">
        <v>53</v>
      </c>
      <c r="J44" t="s">
        <v>53</v>
      </c>
      <c r="K44" t="s">
        <v>53</v>
      </c>
      <c r="L44" t="s">
        <v>53</v>
      </c>
      <c r="M44" t="s">
        <v>53</v>
      </c>
      <c r="N44" t="s">
        <v>53</v>
      </c>
      <c r="O44" t="s">
        <v>53</v>
      </c>
      <c r="P44" t="s">
        <v>53</v>
      </c>
      <c r="Q44" t="s">
        <v>53</v>
      </c>
      <c r="U44" t="s">
        <v>53</v>
      </c>
      <c r="X44" t="s">
        <v>53</v>
      </c>
      <c r="Y44" cm="1">
        <f t="array" ref="Y44">SUM(IF(C44:X44="X", 1, 0))</f>
        <v>15</v>
      </c>
    </row>
    <row r="45" spans="1:25" x14ac:dyDescent="0.2">
      <c r="A45" t="s">
        <v>47</v>
      </c>
      <c r="B45" t="s">
        <v>115</v>
      </c>
      <c r="C45" t="s">
        <v>53</v>
      </c>
      <c r="D45" t="s">
        <v>53</v>
      </c>
      <c r="E45" t="s">
        <v>53</v>
      </c>
      <c r="F45" t="s">
        <v>53</v>
      </c>
      <c r="H45" t="s">
        <v>53</v>
      </c>
      <c r="I45" t="s">
        <v>53</v>
      </c>
      <c r="J45" t="s">
        <v>53</v>
      </c>
      <c r="M45" t="s">
        <v>53</v>
      </c>
      <c r="N45" t="s">
        <v>53</v>
      </c>
      <c r="O45" t="s">
        <v>53</v>
      </c>
      <c r="P45" t="s">
        <v>53</v>
      </c>
      <c r="Q45" t="s">
        <v>53</v>
      </c>
      <c r="Y45" cm="1">
        <f t="array" ref="Y45">SUM(IF(C45:X45="X", 1, 0))</f>
        <v>12</v>
      </c>
    </row>
    <row r="46" spans="1:25" x14ac:dyDescent="0.2">
      <c r="A46" t="s">
        <v>48</v>
      </c>
      <c r="B46" t="s">
        <v>115</v>
      </c>
      <c r="C46" t="s">
        <v>53</v>
      </c>
      <c r="D46" t="s">
        <v>53</v>
      </c>
      <c r="E46" t="s">
        <v>53</v>
      </c>
      <c r="G46" t="s">
        <v>53</v>
      </c>
      <c r="H46" t="s">
        <v>53</v>
      </c>
      <c r="I46" t="s">
        <v>53</v>
      </c>
      <c r="J46" t="s">
        <v>53</v>
      </c>
      <c r="K46" t="s">
        <v>53</v>
      </c>
      <c r="L46" t="s">
        <v>53</v>
      </c>
      <c r="M46" t="s">
        <v>53</v>
      </c>
      <c r="N46" t="s">
        <v>53</v>
      </c>
      <c r="O46" t="s">
        <v>53</v>
      </c>
      <c r="Q46" t="s">
        <v>53</v>
      </c>
      <c r="R46" t="s">
        <v>53</v>
      </c>
      <c r="S46" t="s">
        <v>53</v>
      </c>
      <c r="T46" t="s">
        <v>53</v>
      </c>
      <c r="U46" t="s">
        <v>53</v>
      </c>
      <c r="V46" t="s">
        <v>53</v>
      </c>
      <c r="W46" t="s">
        <v>53</v>
      </c>
      <c r="X46" t="s">
        <v>53</v>
      </c>
      <c r="Y46" cm="1">
        <f t="array" ref="Y46">SUM(IF(C46:X46="X", 1, 0))</f>
        <v>20</v>
      </c>
    </row>
    <row r="47" spans="1:25" x14ac:dyDescent="0.2">
      <c r="A47" t="s">
        <v>51</v>
      </c>
      <c r="B47" t="s">
        <v>115</v>
      </c>
      <c r="C47" t="s">
        <v>53</v>
      </c>
      <c r="D47" t="s">
        <v>53</v>
      </c>
      <c r="F47" t="s">
        <v>53</v>
      </c>
      <c r="G47" t="s">
        <v>53</v>
      </c>
      <c r="I47" t="s">
        <v>53</v>
      </c>
      <c r="J47" t="s">
        <v>53</v>
      </c>
      <c r="K47" t="s">
        <v>53</v>
      </c>
      <c r="L47" t="s">
        <v>53</v>
      </c>
      <c r="M47" t="s">
        <v>53</v>
      </c>
      <c r="N47" t="s">
        <v>53</v>
      </c>
      <c r="O47" t="s">
        <v>53</v>
      </c>
      <c r="P47" t="s">
        <v>53</v>
      </c>
      <c r="Q47" t="s">
        <v>53</v>
      </c>
      <c r="R47" t="s">
        <v>53</v>
      </c>
      <c r="S47" t="s">
        <v>53</v>
      </c>
      <c r="T47" t="s">
        <v>53</v>
      </c>
      <c r="V47" t="s">
        <v>53</v>
      </c>
      <c r="W47" t="s">
        <v>53</v>
      </c>
      <c r="X47" t="s">
        <v>53</v>
      </c>
      <c r="Y47" cm="1">
        <f t="array" ref="Y47">SUM(IF(C47:X47="X", 1, 0))</f>
        <v>19</v>
      </c>
    </row>
    <row r="48" spans="1:25" x14ac:dyDescent="0.2">
      <c r="A48" t="s">
        <v>52</v>
      </c>
      <c r="B48" t="s">
        <v>115</v>
      </c>
      <c r="C48" t="s">
        <v>53</v>
      </c>
      <c r="D48" t="s">
        <v>53</v>
      </c>
      <c r="H48" t="s">
        <v>53</v>
      </c>
      <c r="K48" t="s">
        <v>53</v>
      </c>
      <c r="L48" t="s">
        <v>53</v>
      </c>
      <c r="M48" t="s">
        <v>53</v>
      </c>
      <c r="N48" t="s">
        <v>53</v>
      </c>
      <c r="O48" t="s">
        <v>53</v>
      </c>
      <c r="P48" t="s">
        <v>53</v>
      </c>
      <c r="Q48" t="s">
        <v>53</v>
      </c>
      <c r="R48" t="s">
        <v>53</v>
      </c>
      <c r="T48" t="s">
        <v>53</v>
      </c>
      <c r="W48" t="s">
        <v>53</v>
      </c>
      <c r="X48" t="s">
        <v>53</v>
      </c>
      <c r="Y48" cm="1">
        <f t="array" ref="Y48">SUM(IF(C48:X48="X", 1, 0))</f>
        <v>14</v>
      </c>
    </row>
    <row r="49" spans="1:25" x14ac:dyDescent="0.2">
      <c r="A49" t="s">
        <v>61</v>
      </c>
      <c r="B49" t="s">
        <v>115</v>
      </c>
      <c r="C49" t="s">
        <v>53</v>
      </c>
      <c r="D49" t="s">
        <v>53</v>
      </c>
      <c r="F49" t="s">
        <v>53</v>
      </c>
      <c r="H49" t="s">
        <v>53</v>
      </c>
      <c r="I49" t="s">
        <v>53</v>
      </c>
      <c r="J49" t="s">
        <v>53</v>
      </c>
      <c r="K49" t="s">
        <v>53</v>
      </c>
      <c r="L49" t="s">
        <v>53</v>
      </c>
      <c r="M49" t="s">
        <v>53</v>
      </c>
      <c r="N49" t="s">
        <v>53</v>
      </c>
      <c r="O49" t="s">
        <v>53</v>
      </c>
      <c r="P49" t="s">
        <v>53</v>
      </c>
      <c r="R49" t="s">
        <v>53</v>
      </c>
      <c r="S49" t="s">
        <v>53</v>
      </c>
      <c r="T49" t="s">
        <v>53</v>
      </c>
      <c r="U49" t="s">
        <v>53</v>
      </c>
      <c r="V49" t="s">
        <v>53</v>
      </c>
      <c r="W49" t="s">
        <v>53</v>
      </c>
      <c r="Y49" cm="1">
        <f t="array" ref="Y49">SUM(IF(C49:X49="X", 1, 0))</f>
        <v>18</v>
      </c>
    </row>
    <row r="50" spans="1:25" x14ac:dyDescent="0.2">
      <c r="A50" t="s">
        <v>62</v>
      </c>
      <c r="B50" t="s">
        <v>115</v>
      </c>
      <c r="C50" t="s">
        <v>53</v>
      </c>
      <c r="D50" t="s">
        <v>53</v>
      </c>
      <c r="E50" t="s">
        <v>53</v>
      </c>
      <c r="F50" t="s">
        <v>53</v>
      </c>
      <c r="I50" t="s">
        <v>53</v>
      </c>
      <c r="J50" t="s">
        <v>53</v>
      </c>
      <c r="K50" t="s">
        <v>53</v>
      </c>
      <c r="L50" t="s">
        <v>53</v>
      </c>
      <c r="M50" t="s">
        <v>53</v>
      </c>
      <c r="N50" t="s">
        <v>53</v>
      </c>
      <c r="O50" t="s">
        <v>53</v>
      </c>
      <c r="R50" t="s">
        <v>53</v>
      </c>
      <c r="S50" t="s">
        <v>53</v>
      </c>
      <c r="T50" t="s">
        <v>53</v>
      </c>
      <c r="U50" t="s">
        <v>53</v>
      </c>
      <c r="V50" t="s">
        <v>53</v>
      </c>
      <c r="W50" t="s">
        <v>53</v>
      </c>
      <c r="Y50" cm="1">
        <f t="array" ref="Y50">SUM(IF(C50:X50="X", 1, 0))</f>
        <v>17</v>
      </c>
    </row>
    <row r="51" spans="1:25" x14ac:dyDescent="0.2">
      <c r="A51" t="s">
        <v>63</v>
      </c>
      <c r="B51" t="s">
        <v>115</v>
      </c>
      <c r="G51" t="s">
        <v>53</v>
      </c>
      <c r="K51" t="s">
        <v>53</v>
      </c>
      <c r="L51" t="s">
        <v>53</v>
      </c>
      <c r="M51" t="s">
        <v>53</v>
      </c>
      <c r="N51" t="s">
        <v>53</v>
      </c>
      <c r="O51" t="s">
        <v>53</v>
      </c>
      <c r="Q51" t="s">
        <v>53</v>
      </c>
      <c r="S51" t="s">
        <v>53</v>
      </c>
      <c r="T51" t="s">
        <v>53</v>
      </c>
      <c r="U51" t="s">
        <v>53</v>
      </c>
      <c r="V51" t="s">
        <v>53</v>
      </c>
      <c r="W51" t="s">
        <v>53</v>
      </c>
      <c r="X51" t="s">
        <v>53</v>
      </c>
      <c r="Y51" cm="1">
        <f t="array" ref="Y51">SUM(IF(C51:X51="X", 1, 0))</f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1F39-91CB-B946-AAC1-A20D5E633622}">
  <dimension ref="A1:R25"/>
  <sheetViews>
    <sheetView workbookViewId="0">
      <selection activeCell="J23" sqref="J23"/>
    </sheetView>
  </sheetViews>
  <sheetFormatPr baseColWidth="10" defaultRowHeight="16" x14ac:dyDescent="0.2"/>
  <cols>
    <col min="1" max="1" width="13.83203125" bestFit="1" customWidth="1"/>
  </cols>
  <sheetData>
    <row r="1" spans="1:18" ht="19" x14ac:dyDescent="0.25">
      <c r="A1" s="3" t="s">
        <v>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</row>
    <row r="2" spans="1:18" x14ac:dyDescent="0.2">
      <c r="A2" t="s">
        <v>34</v>
      </c>
      <c r="B2" t="s">
        <v>53</v>
      </c>
      <c r="C2" t="s">
        <v>53</v>
      </c>
      <c r="E2" t="s">
        <v>53</v>
      </c>
      <c r="F2" t="s">
        <v>53</v>
      </c>
      <c r="G2" t="s">
        <v>53</v>
      </c>
      <c r="H2" t="s">
        <v>53</v>
      </c>
      <c r="I2" t="s">
        <v>53</v>
      </c>
      <c r="J2" s="10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</row>
    <row r="3" spans="1:18" x14ac:dyDescent="0.2">
      <c r="A3" t="s">
        <v>35</v>
      </c>
      <c r="B3" t="s">
        <v>53</v>
      </c>
      <c r="C3" t="s">
        <v>53</v>
      </c>
      <c r="D3" t="s">
        <v>53</v>
      </c>
      <c r="E3" t="s">
        <v>53</v>
      </c>
      <c r="F3" t="s">
        <v>53</v>
      </c>
      <c r="G3" t="s">
        <v>53</v>
      </c>
      <c r="H3" t="s">
        <v>53</v>
      </c>
      <c r="I3" t="s">
        <v>53</v>
      </c>
      <c r="J3" s="10" t="s">
        <v>53</v>
      </c>
      <c r="K3" t="s">
        <v>53</v>
      </c>
      <c r="L3" t="s">
        <v>53</v>
      </c>
      <c r="M3" t="s">
        <v>53</v>
      </c>
      <c r="N3" t="s">
        <v>53</v>
      </c>
      <c r="O3" t="s">
        <v>53</v>
      </c>
      <c r="Q3" t="s">
        <v>53</v>
      </c>
      <c r="R3" t="s">
        <v>53</v>
      </c>
    </row>
    <row r="4" spans="1:18" x14ac:dyDescent="0.2">
      <c r="A4" t="s">
        <v>36</v>
      </c>
      <c r="B4" t="s">
        <v>53</v>
      </c>
      <c r="C4" t="s">
        <v>53</v>
      </c>
      <c r="D4" t="s">
        <v>53</v>
      </c>
      <c r="E4" t="s">
        <v>53</v>
      </c>
      <c r="F4" t="s">
        <v>53</v>
      </c>
      <c r="G4" t="s">
        <v>53</v>
      </c>
      <c r="H4" t="s">
        <v>53</v>
      </c>
      <c r="I4" t="s">
        <v>53</v>
      </c>
      <c r="J4" s="10" t="s">
        <v>53</v>
      </c>
      <c r="K4" t="s">
        <v>53</v>
      </c>
      <c r="L4" t="s">
        <v>53</v>
      </c>
      <c r="N4" t="s">
        <v>53</v>
      </c>
      <c r="O4" t="s">
        <v>53</v>
      </c>
      <c r="P4" t="s">
        <v>53</v>
      </c>
      <c r="R4" t="s">
        <v>53</v>
      </c>
    </row>
    <row r="5" spans="1:18" x14ac:dyDescent="0.2">
      <c r="A5" t="s">
        <v>37</v>
      </c>
      <c r="B5" t="s">
        <v>53</v>
      </c>
      <c r="C5" t="s">
        <v>53</v>
      </c>
      <c r="D5" t="s">
        <v>53</v>
      </c>
      <c r="E5" t="s">
        <v>53</v>
      </c>
      <c r="F5" t="s">
        <v>53</v>
      </c>
      <c r="H5" t="s">
        <v>53</v>
      </c>
      <c r="J5" s="10" t="s">
        <v>53</v>
      </c>
      <c r="K5" t="s">
        <v>53</v>
      </c>
      <c r="M5" t="s">
        <v>53</v>
      </c>
      <c r="N5" t="s">
        <v>53</v>
      </c>
      <c r="O5" t="s">
        <v>53</v>
      </c>
      <c r="P5" t="s">
        <v>53</v>
      </c>
      <c r="Q5" t="s">
        <v>53</v>
      </c>
      <c r="R5" t="s">
        <v>53</v>
      </c>
    </row>
    <row r="6" spans="1:18" x14ac:dyDescent="0.2">
      <c r="A6" t="s">
        <v>38</v>
      </c>
      <c r="B6" t="s">
        <v>53</v>
      </c>
      <c r="C6" t="s">
        <v>53</v>
      </c>
      <c r="D6" t="s">
        <v>53</v>
      </c>
      <c r="E6" t="s">
        <v>53</v>
      </c>
      <c r="F6" t="s">
        <v>53</v>
      </c>
      <c r="G6" t="s">
        <v>53</v>
      </c>
      <c r="H6" t="s">
        <v>53</v>
      </c>
      <c r="I6" t="s">
        <v>53</v>
      </c>
      <c r="J6" s="10" t="s">
        <v>53</v>
      </c>
      <c r="K6" t="s">
        <v>53</v>
      </c>
      <c r="M6" t="s">
        <v>53</v>
      </c>
      <c r="N6" t="s">
        <v>53</v>
      </c>
      <c r="O6" t="s">
        <v>53</v>
      </c>
      <c r="P6" t="s">
        <v>53</v>
      </c>
      <c r="R6" t="s">
        <v>53</v>
      </c>
    </row>
    <row r="7" spans="1:18" x14ac:dyDescent="0.2">
      <c r="A7" t="s">
        <v>39</v>
      </c>
      <c r="B7" t="s">
        <v>53</v>
      </c>
      <c r="C7" t="s">
        <v>53</v>
      </c>
      <c r="D7" t="s">
        <v>53</v>
      </c>
      <c r="E7" t="s">
        <v>53</v>
      </c>
      <c r="F7" t="s">
        <v>53</v>
      </c>
      <c r="G7" t="s">
        <v>53</v>
      </c>
      <c r="H7" t="s">
        <v>53</v>
      </c>
      <c r="I7" t="s">
        <v>53</v>
      </c>
      <c r="J7" s="10" t="s">
        <v>53</v>
      </c>
      <c r="K7" t="s">
        <v>53</v>
      </c>
      <c r="L7" t="s">
        <v>53</v>
      </c>
      <c r="N7" t="s">
        <v>53</v>
      </c>
      <c r="O7" t="s">
        <v>53</v>
      </c>
      <c r="P7" t="s">
        <v>53</v>
      </c>
      <c r="R7" t="s">
        <v>53</v>
      </c>
    </row>
    <row r="8" spans="1:18" x14ac:dyDescent="0.2">
      <c r="A8" t="s">
        <v>40</v>
      </c>
      <c r="B8" t="s">
        <v>53</v>
      </c>
      <c r="C8" t="s">
        <v>53</v>
      </c>
      <c r="D8" t="s">
        <v>53</v>
      </c>
      <c r="H8" t="s">
        <v>53</v>
      </c>
      <c r="I8" t="s">
        <v>53</v>
      </c>
      <c r="J8" s="10" t="s">
        <v>53</v>
      </c>
      <c r="K8" t="s">
        <v>53</v>
      </c>
      <c r="M8" t="s">
        <v>53</v>
      </c>
      <c r="N8" t="s">
        <v>53</v>
      </c>
      <c r="O8" t="s">
        <v>53</v>
      </c>
      <c r="P8" t="s">
        <v>53</v>
      </c>
      <c r="Q8" t="s">
        <v>53</v>
      </c>
      <c r="R8" t="s">
        <v>53</v>
      </c>
    </row>
    <row r="9" spans="1:18" x14ac:dyDescent="0.2">
      <c r="A9" t="s">
        <v>41</v>
      </c>
      <c r="B9" t="s">
        <v>53</v>
      </c>
      <c r="C9" t="s">
        <v>53</v>
      </c>
      <c r="D9" t="s">
        <v>53</v>
      </c>
      <c r="E9" t="s">
        <v>53</v>
      </c>
      <c r="F9" t="s">
        <v>53</v>
      </c>
      <c r="H9" t="s">
        <v>53</v>
      </c>
      <c r="I9" t="s">
        <v>53</v>
      </c>
      <c r="J9" s="10" t="s">
        <v>53</v>
      </c>
      <c r="K9" t="s">
        <v>53</v>
      </c>
      <c r="L9" t="s">
        <v>53</v>
      </c>
      <c r="M9" t="s">
        <v>53</v>
      </c>
      <c r="N9" t="s">
        <v>53</v>
      </c>
      <c r="O9" t="s">
        <v>53</v>
      </c>
      <c r="P9" t="s">
        <v>53</v>
      </c>
      <c r="R9" t="s">
        <v>53</v>
      </c>
    </row>
    <row r="10" spans="1:18" x14ac:dyDescent="0.2">
      <c r="A10" t="s">
        <v>107</v>
      </c>
      <c r="B10" t="s">
        <v>53</v>
      </c>
      <c r="C10" t="s">
        <v>53</v>
      </c>
      <c r="D10" t="s">
        <v>53</v>
      </c>
      <c r="E10" t="s">
        <v>53</v>
      </c>
      <c r="F10" t="s">
        <v>53</v>
      </c>
      <c r="G10" t="s">
        <v>53</v>
      </c>
      <c r="H10" t="s">
        <v>53</v>
      </c>
      <c r="J10" s="10" t="s">
        <v>53</v>
      </c>
      <c r="K10" t="s">
        <v>53</v>
      </c>
      <c r="M10" t="s">
        <v>53</v>
      </c>
      <c r="N10" t="s">
        <v>53</v>
      </c>
      <c r="P10" t="s">
        <v>53</v>
      </c>
      <c r="Q10" t="s">
        <v>53</v>
      </c>
      <c r="R10" t="s">
        <v>53</v>
      </c>
    </row>
    <row r="11" spans="1:18" x14ac:dyDescent="0.2">
      <c r="A11" t="s">
        <v>44</v>
      </c>
      <c r="B11" t="s">
        <v>53</v>
      </c>
      <c r="C11" t="s">
        <v>53</v>
      </c>
      <c r="D11" t="s">
        <v>53</v>
      </c>
      <c r="E11" t="s">
        <v>53</v>
      </c>
      <c r="F11" t="s">
        <v>53</v>
      </c>
      <c r="G11" t="s">
        <v>53</v>
      </c>
      <c r="H11" t="s">
        <v>53</v>
      </c>
      <c r="I11" t="s">
        <v>53</v>
      </c>
      <c r="J11" s="10" t="s">
        <v>53</v>
      </c>
      <c r="K11" t="s">
        <v>53</v>
      </c>
      <c r="L11" t="s">
        <v>53</v>
      </c>
      <c r="M11" t="s">
        <v>53</v>
      </c>
      <c r="O11" t="s">
        <v>53</v>
      </c>
      <c r="P11" t="s">
        <v>53</v>
      </c>
      <c r="Q11" t="s">
        <v>53</v>
      </c>
      <c r="R11" t="s">
        <v>53</v>
      </c>
    </row>
    <row r="12" spans="1:18" x14ac:dyDescent="0.2">
      <c r="A12" t="s">
        <v>46</v>
      </c>
      <c r="B12" t="s">
        <v>53</v>
      </c>
      <c r="C12" t="s">
        <v>53</v>
      </c>
      <c r="D12" t="s">
        <v>53</v>
      </c>
      <c r="E12" t="s">
        <v>53</v>
      </c>
      <c r="F12" t="s">
        <v>53</v>
      </c>
      <c r="G12" t="s">
        <v>53</v>
      </c>
      <c r="H12" t="s">
        <v>53</v>
      </c>
      <c r="I12" t="s">
        <v>53</v>
      </c>
      <c r="J12" s="10" t="s">
        <v>53</v>
      </c>
      <c r="K12" t="s">
        <v>53</v>
      </c>
      <c r="L12" t="s">
        <v>53</v>
      </c>
      <c r="M12" t="s">
        <v>53</v>
      </c>
      <c r="N12" t="s">
        <v>53</v>
      </c>
      <c r="P12" t="s">
        <v>53</v>
      </c>
      <c r="Q12" t="s">
        <v>53</v>
      </c>
      <c r="R12" t="s">
        <v>53</v>
      </c>
    </row>
    <row r="13" spans="1:18" x14ac:dyDescent="0.2">
      <c r="A13" t="s">
        <v>48</v>
      </c>
      <c r="B13" t="s">
        <v>53</v>
      </c>
      <c r="C13" t="s">
        <v>53</v>
      </c>
      <c r="D13" t="s">
        <v>53</v>
      </c>
      <c r="E13" t="s">
        <v>53</v>
      </c>
      <c r="F13" t="s">
        <v>53</v>
      </c>
      <c r="G13" t="s">
        <v>53</v>
      </c>
      <c r="H13" t="s">
        <v>53</v>
      </c>
      <c r="I13" t="s">
        <v>53</v>
      </c>
      <c r="J13" s="10" t="s">
        <v>53</v>
      </c>
      <c r="K13" t="s">
        <v>53</v>
      </c>
      <c r="L13" t="s">
        <v>53</v>
      </c>
      <c r="M13" t="s">
        <v>53</v>
      </c>
      <c r="N13" t="s">
        <v>53</v>
      </c>
      <c r="O13" t="s">
        <v>53</v>
      </c>
      <c r="P13" t="s">
        <v>53</v>
      </c>
      <c r="Q13" t="s">
        <v>53</v>
      </c>
      <c r="R13" t="s">
        <v>53</v>
      </c>
    </row>
    <row r="14" spans="1:18" x14ac:dyDescent="0.2">
      <c r="A14" t="s">
        <v>51</v>
      </c>
      <c r="B14" t="s">
        <v>53</v>
      </c>
      <c r="C14" t="s">
        <v>53</v>
      </c>
      <c r="D14" t="s">
        <v>53</v>
      </c>
      <c r="G14" t="s">
        <v>53</v>
      </c>
      <c r="H14" t="s">
        <v>53</v>
      </c>
      <c r="I14" t="s">
        <v>53</v>
      </c>
      <c r="J14" s="10" t="s">
        <v>53</v>
      </c>
      <c r="K14" t="s">
        <v>53</v>
      </c>
      <c r="L14" t="s">
        <v>53</v>
      </c>
      <c r="M14" t="s">
        <v>53</v>
      </c>
      <c r="N14" t="s">
        <v>53</v>
      </c>
      <c r="O14" t="s">
        <v>53</v>
      </c>
      <c r="P14" t="s">
        <v>53</v>
      </c>
      <c r="R14" t="s">
        <v>53</v>
      </c>
    </row>
    <row r="15" spans="1:18" x14ac:dyDescent="0.2">
      <c r="A15" t="s">
        <v>52</v>
      </c>
      <c r="B15" t="s">
        <v>53</v>
      </c>
      <c r="H15" t="s">
        <v>53</v>
      </c>
      <c r="I15" t="s">
        <v>53</v>
      </c>
      <c r="J15" s="10" t="s">
        <v>53</v>
      </c>
      <c r="K15" t="s">
        <v>53</v>
      </c>
      <c r="L15" t="s">
        <v>53</v>
      </c>
      <c r="M15" t="s">
        <v>53</v>
      </c>
      <c r="N15" t="s">
        <v>53</v>
      </c>
      <c r="P15" t="s">
        <v>53</v>
      </c>
      <c r="R15" t="s">
        <v>53</v>
      </c>
    </row>
    <row r="16" spans="1:18" x14ac:dyDescent="0.2">
      <c r="A16" t="s">
        <v>61</v>
      </c>
      <c r="B16" t="s">
        <v>53</v>
      </c>
      <c r="D16" t="s">
        <v>53</v>
      </c>
      <c r="E16" t="s">
        <v>53</v>
      </c>
      <c r="F16" t="s">
        <v>53</v>
      </c>
      <c r="G16" t="s">
        <v>53</v>
      </c>
      <c r="H16" t="s">
        <v>53</v>
      </c>
      <c r="I16" t="s">
        <v>53</v>
      </c>
      <c r="J16" s="10" t="s">
        <v>53</v>
      </c>
      <c r="K16" t="s">
        <v>53</v>
      </c>
      <c r="M16" t="s">
        <v>53</v>
      </c>
      <c r="N16" t="s">
        <v>53</v>
      </c>
      <c r="O16" t="s">
        <v>53</v>
      </c>
      <c r="P16" t="s">
        <v>53</v>
      </c>
      <c r="Q16" t="s">
        <v>53</v>
      </c>
    </row>
    <row r="17" spans="1:18" x14ac:dyDescent="0.2">
      <c r="A17" t="s">
        <v>108</v>
      </c>
      <c r="B17" t="s">
        <v>53</v>
      </c>
      <c r="D17" t="s">
        <v>53</v>
      </c>
      <c r="G17" t="s">
        <v>53</v>
      </c>
      <c r="H17" t="s">
        <v>53</v>
      </c>
      <c r="I17" t="s">
        <v>53</v>
      </c>
      <c r="J17" s="10" t="s">
        <v>53</v>
      </c>
      <c r="K17" t="s">
        <v>53</v>
      </c>
      <c r="M17" t="s">
        <v>53</v>
      </c>
      <c r="N17" t="s">
        <v>53</v>
      </c>
      <c r="O17" t="s">
        <v>53</v>
      </c>
      <c r="P17" t="s">
        <v>53</v>
      </c>
      <c r="Q17" t="s">
        <v>53</v>
      </c>
    </row>
    <row r="18" spans="1:18" x14ac:dyDescent="0.2">
      <c r="A18" t="s">
        <v>45</v>
      </c>
      <c r="B18" t="s">
        <v>53</v>
      </c>
      <c r="C18" t="s">
        <v>53</v>
      </c>
      <c r="D18" t="s">
        <v>53</v>
      </c>
      <c r="E18" t="s">
        <v>53</v>
      </c>
      <c r="F18" t="s">
        <v>53</v>
      </c>
      <c r="G18" t="s">
        <v>53</v>
      </c>
      <c r="H18" t="s">
        <v>53</v>
      </c>
      <c r="I18" t="s">
        <v>53</v>
      </c>
      <c r="J18" s="10" t="s">
        <v>53</v>
      </c>
      <c r="K18" t="s">
        <v>53</v>
      </c>
      <c r="M18" t="s">
        <v>53</v>
      </c>
    </row>
    <row r="19" spans="1:18" x14ac:dyDescent="0.2">
      <c r="A19" t="s">
        <v>106</v>
      </c>
      <c r="B19" s="20" t="s">
        <v>53</v>
      </c>
      <c r="C19" s="20" t="s">
        <v>53</v>
      </c>
      <c r="D19" s="20" t="s">
        <v>53</v>
      </c>
      <c r="E19" s="20" t="s">
        <v>53</v>
      </c>
      <c r="F19" s="20" t="s">
        <v>53</v>
      </c>
      <c r="G19" s="20" t="s">
        <v>53</v>
      </c>
      <c r="H19" s="20" t="s">
        <v>53</v>
      </c>
      <c r="I19" s="20" t="s">
        <v>53</v>
      </c>
      <c r="J19" s="21" t="s">
        <v>53</v>
      </c>
      <c r="K19" s="20" t="s">
        <v>53</v>
      </c>
      <c r="L19" s="20" t="s">
        <v>53</v>
      </c>
      <c r="M19" s="20" t="s">
        <v>53</v>
      </c>
      <c r="N19" s="20" t="s">
        <v>53</v>
      </c>
      <c r="O19" s="20" t="s">
        <v>53</v>
      </c>
      <c r="P19" s="20"/>
      <c r="Q19" s="20"/>
      <c r="R19" s="20" t="s">
        <v>53</v>
      </c>
    </row>
    <row r="20" spans="1:18" x14ac:dyDescent="0.2">
      <c r="A20" t="s">
        <v>103</v>
      </c>
      <c r="B20" t="s">
        <v>53</v>
      </c>
      <c r="C20" t="s">
        <v>53</v>
      </c>
      <c r="D20" t="s">
        <v>53</v>
      </c>
      <c r="G20" t="s">
        <v>53</v>
      </c>
      <c r="H20" t="s">
        <v>53</v>
      </c>
      <c r="I20" t="s">
        <v>53</v>
      </c>
      <c r="J20" s="10" t="s">
        <v>53</v>
      </c>
      <c r="K20" t="s">
        <v>53</v>
      </c>
      <c r="M20" t="s">
        <v>53</v>
      </c>
      <c r="N20" t="s">
        <v>53</v>
      </c>
      <c r="P20" t="s">
        <v>53</v>
      </c>
      <c r="R20" t="s">
        <v>53</v>
      </c>
    </row>
    <row r="21" spans="1:18" x14ac:dyDescent="0.2">
      <c r="A21" t="s">
        <v>104</v>
      </c>
      <c r="B21" t="s">
        <v>53</v>
      </c>
      <c r="C21" t="s">
        <v>53</v>
      </c>
      <c r="D21" t="s">
        <v>53</v>
      </c>
      <c r="E21" t="s">
        <v>53</v>
      </c>
      <c r="F21" t="s">
        <v>53</v>
      </c>
      <c r="G21" t="s">
        <v>53</v>
      </c>
      <c r="H21" t="s">
        <v>53</v>
      </c>
      <c r="I21" t="s">
        <v>53</v>
      </c>
      <c r="J21" s="10" t="s">
        <v>53</v>
      </c>
      <c r="K21" t="s">
        <v>53</v>
      </c>
      <c r="L21" t="s">
        <v>53</v>
      </c>
      <c r="M21" t="s">
        <v>53</v>
      </c>
      <c r="O21" t="s">
        <v>53</v>
      </c>
      <c r="P21" t="s">
        <v>53</v>
      </c>
      <c r="Q21" t="s">
        <v>53</v>
      </c>
      <c r="R21" t="s">
        <v>53</v>
      </c>
    </row>
    <row r="22" spans="1:18" x14ac:dyDescent="0.2">
      <c r="A22" t="s">
        <v>109</v>
      </c>
      <c r="C22" t="s">
        <v>53</v>
      </c>
      <c r="D22" t="s">
        <v>53</v>
      </c>
      <c r="H22" t="s">
        <v>53</v>
      </c>
      <c r="I22" t="s">
        <v>53</v>
      </c>
      <c r="J22" s="10" t="s">
        <v>53</v>
      </c>
      <c r="K22" t="s">
        <v>53</v>
      </c>
      <c r="L22" t="s">
        <v>53</v>
      </c>
      <c r="M22" t="s">
        <v>53</v>
      </c>
      <c r="N22" t="s">
        <v>53</v>
      </c>
      <c r="O22" t="s">
        <v>53</v>
      </c>
      <c r="P22" t="s">
        <v>53</v>
      </c>
      <c r="Q22" t="s">
        <v>53</v>
      </c>
    </row>
    <row r="23" spans="1:18" x14ac:dyDescent="0.2">
      <c r="A23" t="s">
        <v>110</v>
      </c>
      <c r="B23" t="s">
        <v>53</v>
      </c>
      <c r="C23" t="s">
        <v>53</v>
      </c>
      <c r="D23" t="s">
        <v>53</v>
      </c>
      <c r="E23" t="s">
        <v>53</v>
      </c>
      <c r="F23" t="s">
        <v>53</v>
      </c>
      <c r="H23" t="s">
        <v>53</v>
      </c>
      <c r="J23" s="10" t="s">
        <v>53</v>
      </c>
      <c r="K23" t="s">
        <v>53</v>
      </c>
      <c r="L23" t="s">
        <v>53</v>
      </c>
      <c r="M23" t="s">
        <v>53</v>
      </c>
      <c r="N23" t="s">
        <v>53</v>
      </c>
      <c r="P23" t="s">
        <v>53</v>
      </c>
      <c r="R23" t="s">
        <v>53</v>
      </c>
    </row>
    <row r="24" spans="1:18" x14ac:dyDescent="0.2">
      <c r="A24" t="s">
        <v>116</v>
      </c>
      <c r="B24" s="20" t="s">
        <v>53</v>
      </c>
      <c r="C24" s="20" t="s">
        <v>53</v>
      </c>
      <c r="D24" s="20" t="s">
        <v>53</v>
      </c>
      <c r="E24" s="20"/>
      <c r="F24" s="20"/>
      <c r="G24" s="20" t="s">
        <v>53</v>
      </c>
      <c r="H24" s="20" t="s">
        <v>53</v>
      </c>
      <c r="I24" s="20" t="s">
        <v>53</v>
      </c>
      <c r="J24" s="21" t="s">
        <v>53</v>
      </c>
      <c r="K24" s="20" t="s">
        <v>53</v>
      </c>
      <c r="L24" s="20" t="s">
        <v>53</v>
      </c>
      <c r="M24" s="20" t="s">
        <v>53</v>
      </c>
      <c r="N24" s="20" t="s">
        <v>53</v>
      </c>
      <c r="O24" s="20"/>
      <c r="P24" s="20" t="s">
        <v>53</v>
      </c>
      <c r="Q24" s="20"/>
      <c r="R24" s="20" t="s">
        <v>53</v>
      </c>
    </row>
    <row r="25" spans="1:18" x14ac:dyDescent="0.2">
      <c r="A25" t="s">
        <v>58</v>
      </c>
      <c r="B25" t="s">
        <v>53</v>
      </c>
      <c r="C25" t="s">
        <v>53</v>
      </c>
      <c r="D25" t="s">
        <v>53</v>
      </c>
      <c r="E25" t="s">
        <v>53</v>
      </c>
      <c r="F25" t="s">
        <v>53</v>
      </c>
      <c r="G25" t="s">
        <v>53</v>
      </c>
      <c r="H25" t="s">
        <v>53</v>
      </c>
      <c r="I25" t="s">
        <v>53</v>
      </c>
      <c r="J25" s="10" t="s">
        <v>53</v>
      </c>
      <c r="K25" t="s">
        <v>53</v>
      </c>
      <c r="L25" t="s">
        <v>53</v>
      </c>
      <c r="M25" t="s">
        <v>53</v>
      </c>
      <c r="N25" t="s">
        <v>53</v>
      </c>
      <c r="O25" t="s">
        <v>53</v>
      </c>
      <c r="P25" t="s">
        <v>53</v>
      </c>
      <c r="Q25" t="s">
        <v>53</v>
      </c>
      <c r="R25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81D86-EA32-384F-B1C1-90C14CDF882B}">
  <dimension ref="A1:S37"/>
  <sheetViews>
    <sheetView workbookViewId="0">
      <selection activeCell="O20" sqref="O20"/>
    </sheetView>
  </sheetViews>
  <sheetFormatPr baseColWidth="10" defaultRowHeight="16" x14ac:dyDescent="0.2"/>
  <cols>
    <col min="1" max="1" width="17.83203125" customWidth="1"/>
  </cols>
  <sheetData>
    <row r="1" spans="1:19" ht="19" x14ac:dyDescent="0.25">
      <c r="A1" s="3" t="s">
        <v>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10" t="s">
        <v>120</v>
      </c>
    </row>
    <row r="2" spans="1:19" x14ac:dyDescent="0.2">
      <c r="A2" t="s">
        <v>34</v>
      </c>
      <c r="B2" t="s">
        <v>53</v>
      </c>
      <c r="C2" t="s">
        <v>53</v>
      </c>
      <c r="E2" t="s">
        <v>53</v>
      </c>
      <c r="F2" t="s">
        <v>53</v>
      </c>
      <c r="G2" t="s">
        <v>53</v>
      </c>
      <c r="H2" t="s">
        <v>53</v>
      </c>
      <c r="I2" t="s">
        <v>53</v>
      </c>
      <c r="J2" s="10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  <c r="S2" cm="1">
        <f t="array" ref="S2">SUM(IF("X"=B2:R2,1,0))</f>
        <v>16</v>
      </c>
    </row>
    <row r="3" spans="1:19" x14ac:dyDescent="0.2">
      <c r="A3" t="s">
        <v>35</v>
      </c>
      <c r="B3" t="s">
        <v>53</v>
      </c>
      <c r="C3" t="s">
        <v>53</v>
      </c>
      <c r="D3" t="s">
        <v>53</v>
      </c>
      <c r="E3" t="s">
        <v>53</v>
      </c>
      <c r="F3" t="s">
        <v>53</v>
      </c>
      <c r="G3" t="s">
        <v>53</v>
      </c>
      <c r="H3" t="s">
        <v>53</v>
      </c>
      <c r="I3" t="s">
        <v>53</v>
      </c>
      <c r="J3" s="10" t="s">
        <v>53</v>
      </c>
      <c r="K3" t="s">
        <v>53</v>
      </c>
      <c r="L3" t="s">
        <v>53</v>
      </c>
      <c r="M3" t="s">
        <v>53</v>
      </c>
      <c r="N3" t="s">
        <v>53</v>
      </c>
      <c r="O3" t="s">
        <v>53</v>
      </c>
      <c r="Q3" t="s">
        <v>53</v>
      </c>
      <c r="R3" t="s">
        <v>53</v>
      </c>
      <c r="S3" cm="1">
        <f t="array" ref="S3">SUM(IF("X"=B3:R3,1,0))</f>
        <v>16</v>
      </c>
    </row>
    <row r="4" spans="1:19" x14ac:dyDescent="0.2">
      <c r="A4" t="s">
        <v>36</v>
      </c>
      <c r="B4" t="s">
        <v>53</v>
      </c>
      <c r="C4" t="s">
        <v>53</v>
      </c>
      <c r="D4" t="s">
        <v>53</v>
      </c>
      <c r="E4" t="s">
        <v>53</v>
      </c>
      <c r="F4" t="s">
        <v>53</v>
      </c>
      <c r="G4" t="s">
        <v>53</v>
      </c>
      <c r="H4" t="s">
        <v>53</v>
      </c>
      <c r="I4" t="s">
        <v>53</v>
      </c>
      <c r="J4" s="10" t="s">
        <v>53</v>
      </c>
      <c r="K4" t="s">
        <v>53</v>
      </c>
      <c r="L4" t="s">
        <v>53</v>
      </c>
      <c r="N4" t="s">
        <v>53</v>
      </c>
      <c r="O4" t="s">
        <v>53</v>
      </c>
      <c r="P4" t="s">
        <v>53</v>
      </c>
      <c r="R4" t="s">
        <v>53</v>
      </c>
      <c r="S4" cm="1">
        <f t="array" ref="S4">SUM(IF("X"=B4:R4,1,0))</f>
        <v>15</v>
      </c>
    </row>
    <row r="5" spans="1:19" x14ac:dyDescent="0.2">
      <c r="A5" t="s">
        <v>37</v>
      </c>
      <c r="B5" t="s">
        <v>53</v>
      </c>
      <c r="C5" t="s">
        <v>53</v>
      </c>
      <c r="D5" t="s">
        <v>53</v>
      </c>
      <c r="E5" t="s">
        <v>53</v>
      </c>
      <c r="F5" t="s">
        <v>53</v>
      </c>
      <c r="G5" t="s">
        <v>53</v>
      </c>
      <c r="H5" t="s">
        <v>53</v>
      </c>
      <c r="J5" s="10" t="s">
        <v>53</v>
      </c>
      <c r="K5" t="s">
        <v>53</v>
      </c>
      <c r="M5" t="s">
        <v>53</v>
      </c>
      <c r="N5" t="s">
        <v>53</v>
      </c>
      <c r="O5" t="s">
        <v>53</v>
      </c>
      <c r="P5" t="s">
        <v>53</v>
      </c>
      <c r="Q5" t="s">
        <v>53</v>
      </c>
      <c r="R5" t="s">
        <v>53</v>
      </c>
      <c r="S5" cm="1">
        <f t="array" ref="S5">SUM(IF("X"=B5:R5,1,0))</f>
        <v>15</v>
      </c>
    </row>
    <row r="6" spans="1:19" x14ac:dyDescent="0.2">
      <c r="A6" t="s">
        <v>38</v>
      </c>
      <c r="B6" t="s">
        <v>53</v>
      </c>
      <c r="C6" t="s">
        <v>53</v>
      </c>
      <c r="D6" t="s">
        <v>53</v>
      </c>
      <c r="E6" t="s">
        <v>53</v>
      </c>
      <c r="F6" t="s">
        <v>53</v>
      </c>
      <c r="G6" t="s">
        <v>53</v>
      </c>
      <c r="H6" t="s">
        <v>53</v>
      </c>
      <c r="I6" t="s">
        <v>53</v>
      </c>
      <c r="J6" s="10" t="s">
        <v>53</v>
      </c>
      <c r="K6" t="s">
        <v>53</v>
      </c>
      <c r="M6" t="s">
        <v>53</v>
      </c>
      <c r="N6" t="s">
        <v>53</v>
      </c>
      <c r="O6" t="s">
        <v>53</v>
      </c>
      <c r="P6" t="s">
        <v>53</v>
      </c>
      <c r="R6" t="s">
        <v>53</v>
      </c>
      <c r="S6" cm="1">
        <f t="array" ref="S6">SUM(IF("X"=B6:R6,1,0))</f>
        <v>15</v>
      </c>
    </row>
    <row r="7" spans="1:19" x14ac:dyDescent="0.2">
      <c r="A7" t="s">
        <v>39</v>
      </c>
      <c r="B7" t="s">
        <v>53</v>
      </c>
      <c r="C7" t="s">
        <v>53</v>
      </c>
      <c r="D7" t="s">
        <v>53</v>
      </c>
      <c r="E7" t="s">
        <v>53</v>
      </c>
      <c r="F7" t="s">
        <v>53</v>
      </c>
      <c r="G7" t="s">
        <v>53</v>
      </c>
      <c r="H7" t="s">
        <v>53</v>
      </c>
      <c r="I7" t="s">
        <v>53</v>
      </c>
      <c r="J7" s="10" t="s">
        <v>53</v>
      </c>
      <c r="K7" t="s">
        <v>53</v>
      </c>
      <c r="L7" t="s">
        <v>53</v>
      </c>
      <c r="N7" t="s">
        <v>53</v>
      </c>
      <c r="O7" t="s">
        <v>53</v>
      </c>
      <c r="P7" t="s">
        <v>53</v>
      </c>
      <c r="R7" t="s">
        <v>53</v>
      </c>
      <c r="S7" cm="1">
        <f t="array" ref="S7">SUM(IF("X"=B7:R7,1,0))</f>
        <v>15</v>
      </c>
    </row>
    <row r="8" spans="1:19" x14ac:dyDescent="0.2">
      <c r="A8" t="s">
        <v>40</v>
      </c>
      <c r="B8" t="s">
        <v>53</v>
      </c>
      <c r="C8" t="s">
        <v>53</v>
      </c>
      <c r="D8" t="s">
        <v>53</v>
      </c>
      <c r="H8" t="s">
        <v>53</v>
      </c>
      <c r="I8" t="s">
        <v>53</v>
      </c>
      <c r="J8" s="10" t="s">
        <v>53</v>
      </c>
      <c r="K8" t="s">
        <v>53</v>
      </c>
      <c r="M8" t="s">
        <v>53</v>
      </c>
      <c r="N8" t="s">
        <v>53</v>
      </c>
      <c r="O8" t="s">
        <v>53</v>
      </c>
      <c r="P8" t="s">
        <v>53</v>
      </c>
      <c r="Q8" t="s">
        <v>53</v>
      </c>
      <c r="R8" t="s">
        <v>53</v>
      </c>
      <c r="S8" cm="1">
        <f t="array" ref="S8">SUM(IF("X"=B8:R8,1,0))</f>
        <v>13</v>
      </c>
    </row>
    <row r="9" spans="1:19" x14ac:dyDescent="0.2">
      <c r="A9" t="s">
        <v>41</v>
      </c>
      <c r="B9" t="s">
        <v>53</v>
      </c>
      <c r="C9" t="s">
        <v>53</v>
      </c>
      <c r="D9" t="s">
        <v>53</v>
      </c>
      <c r="E9" t="s">
        <v>53</v>
      </c>
      <c r="F9" t="s">
        <v>53</v>
      </c>
      <c r="H9" t="s">
        <v>53</v>
      </c>
      <c r="I9" t="s">
        <v>53</v>
      </c>
      <c r="J9" s="10" t="s">
        <v>53</v>
      </c>
      <c r="K9" t="s">
        <v>53</v>
      </c>
      <c r="L9" t="s">
        <v>53</v>
      </c>
      <c r="M9" t="s">
        <v>53</v>
      </c>
      <c r="N9" t="s">
        <v>53</v>
      </c>
      <c r="O9" t="s">
        <v>53</v>
      </c>
      <c r="P9" t="s">
        <v>53</v>
      </c>
      <c r="R9" t="s">
        <v>53</v>
      </c>
      <c r="S9" cm="1">
        <f t="array" ref="S9">SUM(IF("X"=B9:R9,1,0))</f>
        <v>15</v>
      </c>
    </row>
    <row r="10" spans="1:19" x14ac:dyDescent="0.2">
      <c r="A10" t="s">
        <v>107</v>
      </c>
      <c r="B10" t="s">
        <v>53</v>
      </c>
      <c r="C10" t="s">
        <v>53</v>
      </c>
      <c r="D10" t="s">
        <v>53</v>
      </c>
      <c r="E10" t="s">
        <v>53</v>
      </c>
      <c r="F10" t="s">
        <v>53</v>
      </c>
      <c r="G10" t="s">
        <v>53</v>
      </c>
      <c r="H10" t="s">
        <v>53</v>
      </c>
      <c r="J10" s="10" t="s">
        <v>53</v>
      </c>
      <c r="K10" t="s">
        <v>53</v>
      </c>
      <c r="M10" t="s">
        <v>53</v>
      </c>
      <c r="N10" t="s">
        <v>53</v>
      </c>
      <c r="P10" t="s">
        <v>53</v>
      </c>
      <c r="Q10" t="s">
        <v>53</v>
      </c>
      <c r="R10" t="s">
        <v>53</v>
      </c>
      <c r="S10" cm="1">
        <f t="array" ref="S10">SUM(IF("X"=B10:R10,1,0))</f>
        <v>14</v>
      </c>
    </row>
    <row r="11" spans="1:19" x14ac:dyDescent="0.2">
      <c r="A11" t="s">
        <v>44</v>
      </c>
      <c r="B11" t="s">
        <v>53</v>
      </c>
      <c r="C11" t="s">
        <v>53</v>
      </c>
      <c r="D11" t="s">
        <v>53</v>
      </c>
      <c r="E11" t="s">
        <v>53</v>
      </c>
      <c r="F11" t="s">
        <v>53</v>
      </c>
      <c r="G11" t="s">
        <v>53</v>
      </c>
      <c r="H11" t="s">
        <v>53</v>
      </c>
      <c r="I11" t="s">
        <v>53</v>
      </c>
      <c r="J11" s="10" t="s">
        <v>53</v>
      </c>
      <c r="K11" t="s">
        <v>53</v>
      </c>
      <c r="L11" t="s">
        <v>53</v>
      </c>
      <c r="M11" t="s">
        <v>53</v>
      </c>
      <c r="N11" t="s">
        <v>53</v>
      </c>
      <c r="O11" t="s">
        <v>53</v>
      </c>
      <c r="P11" t="s">
        <v>53</v>
      </c>
      <c r="Q11" t="s">
        <v>53</v>
      </c>
      <c r="R11" t="s">
        <v>53</v>
      </c>
      <c r="S11" cm="1">
        <f t="array" ref="S11">SUM(IF("X"=B11:R11,1,0))</f>
        <v>17</v>
      </c>
    </row>
    <row r="12" spans="1:19" x14ac:dyDescent="0.2">
      <c r="A12" t="s">
        <v>46</v>
      </c>
      <c r="B12" t="s">
        <v>53</v>
      </c>
      <c r="C12" t="s">
        <v>53</v>
      </c>
      <c r="D12" t="s">
        <v>53</v>
      </c>
      <c r="E12" t="s">
        <v>53</v>
      </c>
      <c r="F12" t="s">
        <v>53</v>
      </c>
      <c r="G12" t="s">
        <v>53</v>
      </c>
      <c r="H12" t="s">
        <v>53</v>
      </c>
      <c r="I12" t="s">
        <v>53</v>
      </c>
      <c r="J12" s="10" t="s">
        <v>53</v>
      </c>
      <c r="K12" t="s">
        <v>53</v>
      </c>
      <c r="L12" t="s">
        <v>53</v>
      </c>
      <c r="M12" t="s">
        <v>53</v>
      </c>
      <c r="N12" t="s">
        <v>53</v>
      </c>
      <c r="P12" t="s">
        <v>53</v>
      </c>
      <c r="Q12" t="s">
        <v>53</v>
      </c>
      <c r="R12" t="s">
        <v>53</v>
      </c>
      <c r="S12" cm="1">
        <f t="array" ref="S12">SUM(IF("X"=B12:R12,1,0))</f>
        <v>16</v>
      </c>
    </row>
    <row r="13" spans="1:19" x14ac:dyDescent="0.2">
      <c r="A13" t="s">
        <v>48</v>
      </c>
      <c r="B13" t="s">
        <v>53</v>
      </c>
      <c r="C13" t="s">
        <v>53</v>
      </c>
      <c r="D13" t="s">
        <v>53</v>
      </c>
      <c r="E13" t="s">
        <v>53</v>
      </c>
      <c r="F13" t="s">
        <v>53</v>
      </c>
      <c r="G13" t="s">
        <v>53</v>
      </c>
      <c r="H13" t="s">
        <v>53</v>
      </c>
      <c r="I13" t="s">
        <v>53</v>
      </c>
      <c r="J13" s="10" t="s">
        <v>53</v>
      </c>
      <c r="K13" t="s">
        <v>53</v>
      </c>
      <c r="L13" t="s">
        <v>53</v>
      </c>
      <c r="M13" t="s">
        <v>53</v>
      </c>
      <c r="N13" t="s">
        <v>53</v>
      </c>
      <c r="O13" t="s">
        <v>53</v>
      </c>
      <c r="P13" t="s">
        <v>53</v>
      </c>
      <c r="Q13" t="s">
        <v>53</v>
      </c>
      <c r="S13" cm="1">
        <f t="array" ref="S13">SUM(IF("X"=B13:R13,1,0))</f>
        <v>16</v>
      </c>
    </row>
    <row r="14" spans="1:19" x14ac:dyDescent="0.2">
      <c r="A14" t="s">
        <v>51</v>
      </c>
      <c r="B14" t="s">
        <v>53</v>
      </c>
      <c r="C14" t="s">
        <v>53</v>
      </c>
      <c r="D14" t="s">
        <v>53</v>
      </c>
      <c r="G14" t="s">
        <v>53</v>
      </c>
      <c r="H14" t="s">
        <v>53</v>
      </c>
      <c r="I14" t="s">
        <v>53</v>
      </c>
      <c r="J14" s="10" t="s">
        <v>53</v>
      </c>
      <c r="K14" t="s">
        <v>53</v>
      </c>
      <c r="L14" t="s">
        <v>53</v>
      </c>
      <c r="M14" t="s">
        <v>53</v>
      </c>
      <c r="N14" t="s">
        <v>53</v>
      </c>
      <c r="O14" t="s">
        <v>53</v>
      </c>
      <c r="P14" t="s">
        <v>53</v>
      </c>
      <c r="R14" t="s">
        <v>53</v>
      </c>
      <c r="S14" cm="1">
        <f t="array" ref="S14">SUM(IF("X"=B14:R14,1,0))</f>
        <v>14</v>
      </c>
    </row>
    <row r="15" spans="1:19" x14ac:dyDescent="0.2">
      <c r="A15" t="s">
        <v>52</v>
      </c>
      <c r="B15" t="s">
        <v>53</v>
      </c>
      <c r="H15" t="s">
        <v>53</v>
      </c>
      <c r="I15" t="s">
        <v>53</v>
      </c>
      <c r="J15" s="10" t="s">
        <v>53</v>
      </c>
      <c r="K15" t="s">
        <v>53</v>
      </c>
      <c r="L15" t="s">
        <v>53</v>
      </c>
      <c r="M15" t="s">
        <v>53</v>
      </c>
      <c r="N15" t="s">
        <v>53</v>
      </c>
      <c r="P15" t="s">
        <v>53</v>
      </c>
      <c r="R15" t="s">
        <v>53</v>
      </c>
      <c r="S15" cm="1">
        <f t="array" ref="S15">SUM(IF("X"=B15:R15,1,0))</f>
        <v>10</v>
      </c>
    </row>
    <row r="16" spans="1:19" x14ac:dyDescent="0.2">
      <c r="A16" t="s">
        <v>61</v>
      </c>
      <c r="B16" t="s">
        <v>53</v>
      </c>
      <c r="D16" t="s">
        <v>53</v>
      </c>
      <c r="E16" t="s">
        <v>53</v>
      </c>
      <c r="F16" t="s">
        <v>53</v>
      </c>
      <c r="G16" t="s">
        <v>53</v>
      </c>
      <c r="H16" t="s">
        <v>53</v>
      </c>
      <c r="I16" t="s">
        <v>53</v>
      </c>
      <c r="J16" s="10" t="s">
        <v>53</v>
      </c>
      <c r="K16" t="s">
        <v>53</v>
      </c>
      <c r="M16" t="s">
        <v>53</v>
      </c>
      <c r="N16" t="s">
        <v>53</v>
      </c>
      <c r="O16" t="s">
        <v>53</v>
      </c>
      <c r="P16" t="s">
        <v>53</v>
      </c>
      <c r="Q16" t="s">
        <v>53</v>
      </c>
      <c r="S16" cm="1">
        <f t="array" ref="S16">SUM(IF("X"=B16:R16,1,0))</f>
        <v>14</v>
      </c>
    </row>
    <row r="17" spans="1:19" x14ac:dyDescent="0.2">
      <c r="A17" t="s">
        <v>108</v>
      </c>
      <c r="B17" t="s">
        <v>53</v>
      </c>
      <c r="D17" t="s">
        <v>53</v>
      </c>
      <c r="G17" t="s">
        <v>53</v>
      </c>
      <c r="H17" t="s">
        <v>53</v>
      </c>
      <c r="I17" t="s">
        <v>53</v>
      </c>
      <c r="J17" s="10" t="s">
        <v>53</v>
      </c>
      <c r="K17" t="s">
        <v>53</v>
      </c>
      <c r="M17" t="s">
        <v>53</v>
      </c>
      <c r="N17" t="s">
        <v>53</v>
      </c>
      <c r="O17" t="s">
        <v>53</v>
      </c>
      <c r="P17" t="s">
        <v>53</v>
      </c>
      <c r="Q17" t="s">
        <v>53</v>
      </c>
      <c r="S17" cm="1">
        <f t="array" ref="S17">SUM(IF("X"=B17:R17,1,0))</f>
        <v>12</v>
      </c>
    </row>
    <row r="18" spans="1:19" x14ac:dyDescent="0.2">
      <c r="A18" t="s">
        <v>45</v>
      </c>
      <c r="B18" t="s">
        <v>53</v>
      </c>
      <c r="C18" t="s">
        <v>53</v>
      </c>
      <c r="D18" t="s">
        <v>53</v>
      </c>
      <c r="E18" t="s">
        <v>53</v>
      </c>
      <c r="F18" t="s">
        <v>53</v>
      </c>
      <c r="G18" t="s">
        <v>53</v>
      </c>
      <c r="H18" t="s">
        <v>53</v>
      </c>
      <c r="I18" t="s">
        <v>53</v>
      </c>
      <c r="J18" s="10" t="s">
        <v>53</v>
      </c>
      <c r="K18" t="s">
        <v>53</v>
      </c>
      <c r="M18" t="s">
        <v>53</v>
      </c>
      <c r="S18" cm="1">
        <f t="array" ref="S18">SUM(IF("X"=B18:R18,1,0))</f>
        <v>11</v>
      </c>
    </row>
    <row r="19" spans="1:19" x14ac:dyDescent="0.2">
      <c r="A19" t="s">
        <v>106</v>
      </c>
      <c r="B19" s="20" t="s">
        <v>53</v>
      </c>
      <c r="C19" s="20" t="s">
        <v>53</v>
      </c>
      <c r="D19" s="20" t="s">
        <v>53</v>
      </c>
      <c r="E19" s="20" t="s">
        <v>53</v>
      </c>
      <c r="F19" s="20" t="s">
        <v>53</v>
      </c>
      <c r="G19" s="20" t="s">
        <v>53</v>
      </c>
      <c r="H19" s="20" t="s">
        <v>53</v>
      </c>
      <c r="I19" s="20" t="s">
        <v>53</v>
      </c>
      <c r="J19" s="21" t="s">
        <v>53</v>
      </c>
      <c r="K19" s="20" t="s">
        <v>53</v>
      </c>
      <c r="L19" s="20" t="s">
        <v>53</v>
      </c>
      <c r="M19" s="20" t="s">
        <v>53</v>
      </c>
      <c r="N19" s="20" t="s">
        <v>53</v>
      </c>
      <c r="O19" s="20" t="s">
        <v>53</v>
      </c>
      <c r="P19" s="20"/>
      <c r="Q19" s="20"/>
      <c r="R19" s="20" t="s">
        <v>53</v>
      </c>
      <c r="S19" cm="1">
        <f t="array" ref="S19">SUM(IF("X"=B19:R19,1,0))</f>
        <v>15</v>
      </c>
    </row>
    <row r="20" spans="1:19" x14ac:dyDescent="0.2">
      <c r="A20" t="s">
        <v>103</v>
      </c>
      <c r="B20" t="s">
        <v>53</v>
      </c>
      <c r="C20" t="s">
        <v>53</v>
      </c>
      <c r="D20" t="s">
        <v>53</v>
      </c>
      <c r="G20" t="s">
        <v>53</v>
      </c>
      <c r="H20" t="s">
        <v>53</v>
      </c>
      <c r="I20" t="s">
        <v>53</v>
      </c>
      <c r="J20" s="10" t="s">
        <v>53</v>
      </c>
      <c r="K20" t="s">
        <v>53</v>
      </c>
      <c r="M20" t="s">
        <v>53</v>
      </c>
      <c r="N20" t="s">
        <v>53</v>
      </c>
      <c r="P20" t="s">
        <v>53</v>
      </c>
      <c r="R20" t="s">
        <v>53</v>
      </c>
      <c r="S20" cm="1">
        <f t="array" ref="S20">SUM(IF("X"=B20:R20,1,0))</f>
        <v>12</v>
      </c>
    </row>
    <row r="21" spans="1:19" x14ac:dyDescent="0.2">
      <c r="A21" t="s">
        <v>124</v>
      </c>
      <c r="C21" t="s">
        <v>53</v>
      </c>
      <c r="D21" t="s">
        <v>53</v>
      </c>
      <c r="H21" t="s">
        <v>53</v>
      </c>
      <c r="I21" t="s">
        <v>53</v>
      </c>
      <c r="J21" s="10" t="s">
        <v>53</v>
      </c>
      <c r="K21" t="s">
        <v>53</v>
      </c>
      <c r="L21" t="s">
        <v>53</v>
      </c>
      <c r="M21" t="s">
        <v>53</v>
      </c>
      <c r="N21" t="s">
        <v>53</v>
      </c>
      <c r="O21" t="s">
        <v>53</v>
      </c>
      <c r="P21" t="s">
        <v>53</v>
      </c>
      <c r="Q21" t="s">
        <v>53</v>
      </c>
      <c r="R21" t="s">
        <v>53</v>
      </c>
      <c r="S21" cm="1">
        <f t="array" ref="S21">SUM(IF("X"=B21:R21,1,0))</f>
        <v>13</v>
      </c>
    </row>
    <row r="22" spans="1:19" x14ac:dyDescent="0.2">
      <c r="A22" t="s">
        <v>116</v>
      </c>
      <c r="B22" s="20" t="s">
        <v>53</v>
      </c>
      <c r="C22" s="20" t="s">
        <v>53</v>
      </c>
      <c r="D22" s="20" t="s">
        <v>53</v>
      </c>
      <c r="E22" s="20"/>
      <c r="F22" s="20"/>
      <c r="G22" s="20" t="s">
        <v>53</v>
      </c>
      <c r="H22" s="20" t="s">
        <v>53</v>
      </c>
      <c r="I22" s="20" t="s">
        <v>53</v>
      </c>
      <c r="J22" s="21" t="s">
        <v>53</v>
      </c>
      <c r="K22" s="20" t="s">
        <v>53</v>
      </c>
      <c r="L22" s="20" t="s">
        <v>53</v>
      </c>
      <c r="M22" s="20" t="s">
        <v>53</v>
      </c>
      <c r="N22" s="20" t="s">
        <v>53</v>
      </c>
      <c r="O22" s="20"/>
      <c r="P22" s="20" t="s">
        <v>53</v>
      </c>
      <c r="Q22" s="20"/>
      <c r="R22" s="20" t="s">
        <v>53</v>
      </c>
      <c r="S22" cm="1">
        <f t="array" ref="S22">SUM(IF("X"=B22:R22,1,0))</f>
        <v>13</v>
      </c>
    </row>
    <row r="23" spans="1:19" x14ac:dyDescent="0.2">
      <c r="A23" t="s">
        <v>117</v>
      </c>
      <c r="B23" t="s">
        <v>53</v>
      </c>
      <c r="C23" t="s">
        <v>53</v>
      </c>
      <c r="D23" t="s">
        <v>53</v>
      </c>
      <c r="E23" t="s">
        <v>53</v>
      </c>
      <c r="F23" t="s">
        <v>53</v>
      </c>
      <c r="G23" t="s">
        <v>53</v>
      </c>
      <c r="H23" t="s">
        <v>53</v>
      </c>
      <c r="I23" t="s">
        <v>53</v>
      </c>
      <c r="J23" s="10" t="s">
        <v>53</v>
      </c>
      <c r="K23" t="s">
        <v>53</v>
      </c>
      <c r="M23" t="s">
        <v>53</v>
      </c>
      <c r="P23" t="s">
        <v>53</v>
      </c>
      <c r="R23" t="s">
        <v>53</v>
      </c>
      <c r="S23" cm="1">
        <f t="array" ref="S23">SUM(IF("X"=B23:R23,1,0))</f>
        <v>13</v>
      </c>
    </row>
    <row r="24" spans="1:19" x14ac:dyDescent="0.2">
      <c r="A24" t="s">
        <v>118</v>
      </c>
      <c r="B24" t="s">
        <v>53</v>
      </c>
      <c r="C24" t="s">
        <v>53</v>
      </c>
      <c r="D24" t="s">
        <v>53</v>
      </c>
      <c r="E24" t="s">
        <v>53</v>
      </c>
      <c r="F24" t="s">
        <v>53</v>
      </c>
      <c r="G24" t="s">
        <v>53</v>
      </c>
      <c r="H24" t="s">
        <v>53</v>
      </c>
      <c r="I24" t="s">
        <v>53</v>
      </c>
      <c r="J24" s="10" t="s">
        <v>53</v>
      </c>
      <c r="K24" t="s">
        <v>53</v>
      </c>
      <c r="M24" t="s">
        <v>53</v>
      </c>
      <c r="N24" t="s">
        <v>53</v>
      </c>
      <c r="O24" t="s">
        <v>53</v>
      </c>
      <c r="P24" t="s">
        <v>53</v>
      </c>
      <c r="Q24" t="s">
        <v>53</v>
      </c>
      <c r="R24" t="s">
        <v>53</v>
      </c>
      <c r="S24" cm="1">
        <f t="array" ref="S24">SUM(IF("X"=B24:R24,1,0))</f>
        <v>16</v>
      </c>
    </row>
    <row r="25" spans="1:19" x14ac:dyDescent="0.2">
      <c r="A25" t="s">
        <v>121</v>
      </c>
      <c r="B25" t="s">
        <v>53</v>
      </c>
      <c r="C25" t="s">
        <v>53</v>
      </c>
      <c r="D25" t="s">
        <v>53</v>
      </c>
      <c r="E25" t="s">
        <v>53</v>
      </c>
      <c r="F25" t="s">
        <v>53</v>
      </c>
      <c r="G25" t="s">
        <v>53</v>
      </c>
      <c r="H25" t="s">
        <v>53</v>
      </c>
      <c r="I25" t="s">
        <v>53</v>
      </c>
      <c r="J25" s="10" t="s">
        <v>53</v>
      </c>
      <c r="K25" t="s">
        <v>53</v>
      </c>
      <c r="N25" t="s">
        <v>53</v>
      </c>
      <c r="O25" t="s">
        <v>53</v>
      </c>
      <c r="P25" t="s">
        <v>53</v>
      </c>
      <c r="R25" t="s">
        <v>53</v>
      </c>
      <c r="S25" cm="1">
        <f t="array" ref="S25">SUM(IF("X"=B25:R25,1,0))</f>
        <v>14</v>
      </c>
    </row>
    <row r="26" spans="1:19" x14ac:dyDescent="0.2">
      <c r="A26" t="s">
        <v>119</v>
      </c>
      <c r="B26" t="s">
        <v>53</v>
      </c>
      <c r="C26" t="s">
        <v>53</v>
      </c>
      <c r="D26" t="s">
        <v>53</v>
      </c>
      <c r="E26" t="s">
        <v>53</v>
      </c>
      <c r="F26" t="s">
        <v>53</v>
      </c>
      <c r="G26" t="s">
        <v>53</v>
      </c>
      <c r="H26" t="s">
        <v>53</v>
      </c>
      <c r="I26" t="s">
        <v>53</v>
      </c>
      <c r="J26" s="10" t="s">
        <v>53</v>
      </c>
      <c r="K26" t="s">
        <v>53</v>
      </c>
      <c r="L26" t="s">
        <v>53</v>
      </c>
      <c r="M26" t="s">
        <v>53</v>
      </c>
      <c r="N26" t="s">
        <v>53</v>
      </c>
      <c r="O26" t="s">
        <v>53</v>
      </c>
      <c r="P26" t="s">
        <v>53</v>
      </c>
      <c r="R26" t="s">
        <v>53</v>
      </c>
      <c r="S26" cm="1">
        <f t="array" ref="S26">SUM(IF("X"=B26:R26,1,0))</f>
        <v>16</v>
      </c>
    </row>
    <row r="27" spans="1:19" x14ac:dyDescent="0.2">
      <c r="A27" t="s">
        <v>122</v>
      </c>
      <c r="B27" t="s">
        <v>53</v>
      </c>
      <c r="C27" t="s">
        <v>53</v>
      </c>
      <c r="D27" t="s">
        <v>53</v>
      </c>
      <c r="E27" t="s">
        <v>53</v>
      </c>
      <c r="F27" t="s">
        <v>53</v>
      </c>
      <c r="G27" t="s">
        <v>53</v>
      </c>
      <c r="H27" t="s">
        <v>53</v>
      </c>
      <c r="I27" t="s">
        <v>53</v>
      </c>
      <c r="J27" s="10" t="s">
        <v>53</v>
      </c>
      <c r="K27" t="s">
        <v>53</v>
      </c>
      <c r="L27" t="s">
        <v>53</v>
      </c>
      <c r="M27" t="s">
        <v>53</v>
      </c>
      <c r="N27" t="s">
        <v>53</v>
      </c>
      <c r="O27" t="s">
        <v>53</v>
      </c>
      <c r="P27" t="s">
        <v>53</v>
      </c>
      <c r="Q27" t="s">
        <v>53</v>
      </c>
      <c r="R27" t="s">
        <v>53</v>
      </c>
      <c r="S27" cm="1">
        <f t="array" ref="S27">SUM(IF("X"=B27:R27,1,0))</f>
        <v>17</v>
      </c>
    </row>
    <row r="28" spans="1:19" x14ac:dyDescent="0.2">
      <c r="A28" t="s">
        <v>123</v>
      </c>
      <c r="B28" t="s">
        <v>53</v>
      </c>
      <c r="C28" t="s">
        <v>53</v>
      </c>
      <c r="D28" t="s">
        <v>53</v>
      </c>
      <c r="G28" t="s">
        <v>53</v>
      </c>
      <c r="H28" t="s">
        <v>53</v>
      </c>
      <c r="I28" t="s">
        <v>53</v>
      </c>
      <c r="J28" s="10" t="s">
        <v>53</v>
      </c>
      <c r="K28" t="s">
        <v>53</v>
      </c>
      <c r="L28" t="s">
        <v>53</v>
      </c>
      <c r="M28" t="s">
        <v>53</v>
      </c>
      <c r="N28" t="s">
        <v>53</v>
      </c>
      <c r="P28" t="s">
        <v>53</v>
      </c>
      <c r="R28" t="s">
        <v>53</v>
      </c>
      <c r="S28" cm="1">
        <f t="array" ref="S28">SUM(IF("X"=B28:R28,1,0))</f>
        <v>13</v>
      </c>
    </row>
    <row r="29" spans="1:19" x14ac:dyDescent="0.2">
      <c r="A29" t="s">
        <v>125</v>
      </c>
      <c r="B29" t="s">
        <v>53</v>
      </c>
      <c r="C29" t="s">
        <v>53</v>
      </c>
      <c r="D29" t="s">
        <v>53</v>
      </c>
      <c r="E29" t="s">
        <v>53</v>
      </c>
      <c r="F29" t="s">
        <v>53</v>
      </c>
      <c r="G29" t="s">
        <v>53</v>
      </c>
      <c r="H29" t="s">
        <v>53</v>
      </c>
      <c r="I29" t="s">
        <v>53</v>
      </c>
      <c r="J29" s="10" t="s">
        <v>53</v>
      </c>
      <c r="K29" t="s">
        <v>53</v>
      </c>
      <c r="L29" t="s">
        <v>53</v>
      </c>
      <c r="M29" t="s">
        <v>53</v>
      </c>
      <c r="S29" cm="1">
        <f t="array" ref="S29">SUM(IF("X"=B29:R29,1,0))</f>
        <v>12</v>
      </c>
    </row>
    <row r="30" spans="1:19" x14ac:dyDescent="0.2">
      <c r="A30" t="s">
        <v>126</v>
      </c>
      <c r="B30" t="s">
        <v>53</v>
      </c>
      <c r="G30" t="s">
        <v>53</v>
      </c>
      <c r="H30" t="s">
        <v>53</v>
      </c>
      <c r="I30" t="s">
        <v>53</v>
      </c>
      <c r="J30" s="10" t="s">
        <v>53</v>
      </c>
      <c r="K30" t="s">
        <v>53</v>
      </c>
      <c r="L30" t="s">
        <v>53</v>
      </c>
      <c r="M30" t="s">
        <v>53</v>
      </c>
      <c r="N30" t="s">
        <v>53</v>
      </c>
      <c r="P30" t="s">
        <v>53</v>
      </c>
      <c r="R30" t="s">
        <v>53</v>
      </c>
      <c r="S30" cm="1">
        <f t="array" ref="S30">SUM(IF("X"=B30:R30,1,0))</f>
        <v>11</v>
      </c>
    </row>
    <row r="31" spans="1:19" x14ac:dyDescent="0.2">
      <c r="A31" t="s">
        <v>127</v>
      </c>
      <c r="B31" t="s">
        <v>53</v>
      </c>
      <c r="C31" t="s">
        <v>53</v>
      </c>
      <c r="D31" t="s">
        <v>53</v>
      </c>
      <c r="E31" t="s">
        <v>53</v>
      </c>
      <c r="F31" t="s">
        <v>53</v>
      </c>
      <c r="G31" t="s">
        <v>53</v>
      </c>
      <c r="H31" t="s">
        <v>53</v>
      </c>
      <c r="I31" t="s">
        <v>53</v>
      </c>
      <c r="J31" s="10" t="s">
        <v>53</v>
      </c>
      <c r="K31" t="s">
        <v>53</v>
      </c>
      <c r="L31" t="s">
        <v>53</v>
      </c>
      <c r="M31" t="s">
        <v>53</v>
      </c>
      <c r="N31" t="s">
        <v>53</v>
      </c>
      <c r="P31" t="s">
        <v>53</v>
      </c>
      <c r="R31" t="s">
        <v>53</v>
      </c>
      <c r="S31" cm="1">
        <f t="array" ref="S31">SUM(IF("X"=B31:R31,1,0))</f>
        <v>15</v>
      </c>
    </row>
    <row r="32" spans="1:19" x14ac:dyDescent="0.2">
      <c r="A32" t="s">
        <v>129</v>
      </c>
      <c r="B32" t="s">
        <v>53</v>
      </c>
      <c r="C32" t="s">
        <v>53</v>
      </c>
      <c r="E32" t="s">
        <v>53</v>
      </c>
      <c r="F32" t="s">
        <v>53</v>
      </c>
      <c r="G32" t="s">
        <v>53</v>
      </c>
      <c r="H32" t="s">
        <v>53</v>
      </c>
      <c r="I32" t="s">
        <v>53</v>
      </c>
      <c r="J32" s="10" t="s">
        <v>53</v>
      </c>
      <c r="K32" t="s">
        <v>53</v>
      </c>
      <c r="L32" t="s">
        <v>53</v>
      </c>
      <c r="M32" t="s">
        <v>53</v>
      </c>
      <c r="N32" t="s">
        <v>53</v>
      </c>
      <c r="O32" t="s">
        <v>53</v>
      </c>
      <c r="S32" cm="1">
        <f t="array" ref="S32">SUM(IF("X"=B32:R32,1,0))</f>
        <v>13</v>
      </c>
    </row>
    <row r="33" spans="1:19" x14ac:dyDescent="0.2">
      <c r="A33" t="s">
        <v>130</v>
      </c>
      <c r="B33" t="s">
        <v>53</v>
      </c>
      <c r="C33" t="s">
        <v>53</v>
      </c>
      <c r="D33" t="s">
        <v>53</v>
      </c>
      <c r="G33" t="s">
        <v>53</v>
      </c>
      <c r="H33" t="s">
        <v>53</v>
      </c>
      <c r="I33" t="s">
        <v>53</v>
      </c>
      <c r="J33" s="10" t="s">
        <v>53</v>
      </c>
      <c r="K33" t="s">
        <v>53</v>
      </c>
      <c r="M33" t="s">
        <v>53</v>
      </c>
      <c r="O33" t="s">
        <v>53</v>
      </c>
      <c r="P33" t="s">
        <v>53</v>
      </c>
      <c r="Q33" t="s">
        <v>53</v>
      </c>
      <c r="R33" t="s">
        <v>53</v>
      </c>
      <c r="S33" cm="1">
        <f t="array" ref="S33">SUM(IF("X"=B33:R33,1,0))</f>
        <v>13</v>
      </c>
    </row>
    <row r="34" spans="1:19" x14ac:dyDescent="0.2">
      <c r="A34" t="s">
        <v>131</v>
      </c>
      <c r="B34" t="s">
        <v>53</v>
      </c>
      <c r="C34" t="s">
        <v>53</v>
      </c>
      <c r="D34" t="s">
        <v>53</v>
      </c>
      <c r="E34" t="s">
        <v>53</v>
      </c>
      <c r="F34" t="s">
        <v>53</v>
      </c>
      <c r="G34" t="s">
        <v>53</v>
      </c>
      <c r="H34" t="s">
        <v>53</v>
      </c>
      <c r="I34" t="s">
        <v>53</v>
      </c>
      <c r="J34" s="10" t="s">
        <v>53</v>
      </c>
      <c r="K34" t="s">
        <v>53</v>
      </c>
      <c r="L34" t="s">
        <v>53</v>
      </c>
      <c r="M34" t="s">
        <v>53</v>
      </c>
      <c r="O34" t="s">
        <v>53</v>
      </c>
      <c r="P34" t="s">
        <v>53</v>
      </c>
      <c r="S34" cm="1">
        <f t="array" ref="S34">SUM(IF("X"=B34:R34,1,0))</f>
        <v>14</v>
      </c>
    </row>
    <row r="35" spans="1:19" x14ac:dyDescent="0.2">
      <c r="A35" t="s">
        <v>159</v>
      </c>
      <c r="B35" t="s">
        <v>53</v>
      </c>
      <c r="C35" t="s">
        <v>53</v>
      </c>
      <c r="D35" t="s">
        <v>53</v>
      </c>
      <c r="E35" t="s">
        <v>53</v>
      </c>
      <c r="F35" t="s">
        <v>53</v>
      </c>
      <c r="H35" t="s">
        <v>53</v>
      </c>
      <c r="I35" t="s">
        <v>53</v>
      </c>
      <c r="J35" s="10" t="s">
        <v>53</v>
      </c>
      <c r="K35" t="s">
        <v>53</v>
      </c>
      <c r="M35" t="s">
        <v>53</v>
      </c>
      <c r="N35" t="s">
        <v>53</v>
      </c>
      <c r="O35" t="s">
        <v>53</v>
      </c>
      <c r="P35" t="s">
        <v>53</v>
      </c>
      <c r="R35" t="s">
        <v>53</v>
      </c>
      <c r="S35" cm="1">
        <f t="array" ref="S35">SUM(IF("X"=B35:R35,1,0))</f>
        <v>14</v>
      </c>
    </row>
    <row r="36" spans="1:19" x14ac:dyDescent="0.2">
      <c r="A36" t="s">
        <v>160</v>
      </c>
      <c r="B36" t="s">
        <v>53</v>
      </c>
      <c r="C36" t="s">
        <v>53</v>
      </c>
      <c r="H36" t="s">
        <v>53</v>
      </c>
      <c r="I36" t="s">
        <v>53</v>
      </c>
      <c r="J36" s="10" t="s">
        <v>53</v>
      </c>
      <c r="K36" t="s">
        <v>53</v>
      </c>
      <c r="M36" t="s">
        <v>53</v>
      </c>
      <c r="N36" t="s">
        <v>53</v>
      </c>
      <c r="O36" t="s">
        <v>53</v>
      </c>
      <c r="S36" cm="1">
        <f t="array" ref="S36">SUM(IF("X"=B36:R36,1,0))</f>
        <v>9</v>
      </c>
    </row>
    <row r="37" spans="1:19" x14ac:dyDescent="0.2">
      <c r="A37" t="s">
        <v>161</v>
      </c>
      <c r="B37" t="s">
        <v>53</v>
      </c>
      <c r="C37" t="s">
        <v>53</v>
      </c>
      <c r="D37" t="s">
        <v>53</v>
      </c>
      <c r="E37" t="s">
        <v>53</v>
      </c>
      <c r="F37" t="s">
        <v>53</v>
      </c>
      <c r="G37" t="s">
        <v>53</v>
      </c>
      <c r="H37" t="s">
        <v>53</v>
      </c>
      <c r="I37" t="s">
        <v>53</v>
      </c>
      <c r="J37" s="10" t="s">
        <v>53</v>
      </c>
      <c r="K37" t="s">
        <v>53</v>
      </c>
      <c r="N37" t="s">
        <v>53</v>
      </c>
      <c r="O37" t="s">
        <v>53</v>
      </c>
      <c r="P37" t="s">
        <v>53</v>
      </c>
      <c r="R37" t="s">
        <v>53</v>
      </c>
      <c r="S37" cm="1">
        <f t="array" ref="S37">SUM(IF("X"=B37:R37,1,0))</f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A4DE2-CBED-3547-A85D-E7B21203B323}">
  <dimension ref="A1:P37"/>
  <sheetViews>
    <sheetView tabSelected="1" workbookViewId="0">
      <selection activeCell="K12" sqref="K12"/>
    </sheetView>
  </sheetViews>
  <sheetFormatPr baseColWidth="10" defaultRowHeight="16" x14ac:dyDescent="0.2"/>
  <cols>
    <col min="1" max="1" width="17.83203125" customWidth="1"/>
  </cols>
  <sheetData>
    <row r="1" spans="1:16" ht="19" x14ac:dyDescent="0.25">
      <c r="A1" s="3" t="s">
        <v>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10" t="s">
        <v>120</v>
      </c>
    </row>
    <row r="2" spans="1:16" x14ac:dyDescent="0.2">
      <c r="A2" t="s">
        <v>34</v>
      </c>
      <c r="B2" t="s">
        <v>53</v>
      </c>
      <c r="C2" t="s">
        <v>53</v>
      </c>
      <c r="E2" t="s">
        <v>53</v>
      </c>
      <c r="F2" t="s">
        <v>53</v>
      </c>
      <c r="G2" t="s">
        <v>53</v>
      </c>
      <c r="H2" s="10" t="s">
        <v>53</v>
      </c>
      <c r="I2" t="s">
        <v>53</v>
      </c>
      <c r="J2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cm="1">
        <f t="array" ref="P2">SUM(IF("X"=B2:O2,1,0))</f>
        <v>13</v>
      </c>
    </row>
    <row r="3" spans="1:16" x14ac:dyDescent="0.2">
      <c r="A3" t="s">
        <v>35</v>
      </c>
      <c r="B3" t="s">
        <v>53</v>
      </c>
      <c r="C3" t="s">
        <v>53</v>
      </c>
      <c r="D3" t="s">
        <v>53</v>
      </c>
      <c r="E3" t="s">
        <v>53</v>
      </c>
      <c r="F3" t="s">
        <v>53</v>
      </c>
      <c r="G3" t="s">
        <v>53</v>
      </c>
      <c r="H3" s="10" t="s">
        <v>53</v>
      </c>
      <c r="I3" t="s">
        <v>53</v>
      </c>
      <c r="J3" t="s">
        <v>53</v>
      </c>
      <c r="K3" t="s">
        <v>53</v>
      </c>
      <c r="L3" t="s">
        <v>53</v>
      </c>
      <c r="N3" t="s">
        <v>53</v>
      </c>
      <c r="O3" t="s">
        <v>53</v>
      </c>
      <c r="P3" cm="1">
        <f t="array" ref="P3">SUM(IF("X"=B3:O3,1,0))</f>
        <v>13</v>
      </c>
    </row>
    <row r="4" spans="1:16" x14ac:dyDescent="0.2">
      <c r="A4" t="s">
        <v>36</v>
      </c>
      <c r="B4" t="s">
        <v>53</v>
      </c>
      <c r="C4" t="s">
        <v>53</v>
      </c>
      <c r="D4" t="s">
        <v>53</v>
      </c>
      <c r="E4" t="s">
        <v>53</v>
      </c>
      <c r="F4" t="s">
        <v>53</v>
      </c>
      <c r="G4" t="s">
        <v>53</v>
      </c>
      <c r="H4" s="10" t="s">
        <v>53</v>
      </c>
      <c r="I4" t="s">
        <v>53</v>
      </c>
      <c r="K4" t="s">
        <v>53</v>
      </c>
      <c r="L4" t="s">
        <v>53</v>
      </c>
      <c r="M4" t="s">
        <v>53</v>
      </c>
      <c r="O4" t="s">
        <v>53</v>
      </c>
      <c r="P4" cm="1">
        <f t="array" ref="P4">SUM(IF("X"=B4:O4,1,0))</f>
        <v>12</v>
      </c>
    </row>
    <row r="5" spans="1:16" x14ac:dyDescent="0.2">
      <c r="A5" t="s">
        <v>37</v>
      </c>
      <c r="B5" t="s">
        <v>53</v>
      </c>
      <c r="C5" t="s">
        <v>53</v>
      </c>
      <c r="D5" t="s">
        <v>53</v>
      </c>
      <c r="E5" t="s">
        <v>53</v>
      </c>
      <c r="F5" t="s">
        <v>53</v>
      </c>
      <c r="H5" s="10" t="s">
        <v>53</v>
      </c>
      <c r="J5" t="s">
        <v>53</v>
      </c>
      <c r="K5" t="s">
        <v>53</v>
      </c>
      <c r="L5" t="s">
        <v>53</v>
      </c>
      <c r="M5" t="s">
        <v>53</v>
      </c>
      <c r="N5" t="s">
        <v>53</v>
      </c>
      <c r="O5" t="s">
        <v>53</v>
      </c>
      <c r="P5" cm="1">
        <f t="array" ref="P5">SUM(IF("X"=B5:O5,1,0))</f>
        <v>12</v>
      </c>
    </row>
    <row r="6" spans="1:16" x14ac:dyDescent="0.2">
      <c r="A6" t="s">
        <v>38</v>
      </c>
      <c r="B6" t="s">
        <v>53</v>
      </c>
      <c r="C6" t="s">
        <v>53</v>
      </c>
      <c r="D6" t="s">
        <v>53</v>
      </c>
      <c r="E6" t="s">
        <v>53</v>
      </c>
      <c r="F6" t="s">
        <v>53</v>
      </c>
      <c r="G6" t="s">
        <v>53</v>
      </c>
      <c r="H6" s="10" t="s">
        <v>53</v>
      </c>
      <c r="J6" t="s">
        <v>53</v>
      </c>
      <c r="K6" t="s">
        <v>53</v>
      </c>
      <c r="L6" t="s">
        <v>53</v>
      </c>
      <c r="M6" t="s">
        <v>53</v>
      </c>
      <c r="O6" t="s">
        <v>53</v>
      </c>
      <c r="P6" cm="1">
        <f t="array" ref="P6">SUM(IF("X"=B6:O6,1,0))</f>
        <v>12</v>
      </c>
    </row>
    <row r="7" spans="1:16" x14ac:dyDescent="0.2">
      <c r="A7" t="s">
        <v>39</v>
      </c>
      <c r="B7" t="s">
        <v>53</v>
      </c>
      <c r="C7" t="s">
        <v>53</v>
      </c>
      <c r="D7" t="s">
        <v>53</v>
      </c>
      <c r="E7" t="s">
        <v>53</v>
      </c>
      <c r="F7" t="s">
        <v>53</v>
      </c>
      <c r="G7" t="s">
        <v>53</v>
      </c>
      <c r="H7" s="10" t="s">
        <v>53</v>
      </c>
      <c r="I7" t="s">
        <v>53</v>
      </c>
      <c r="K7" t="s">
        <v>53</v>
      </c>
      <c r="L7" t="s">
        <v>53</v>
      </c>
      <c r="M7" t="s">
        <v>53</v>
      </c>
      <c r="O7" t="s">
        <v>53</v>
      </c>
      <c r="P7" cm="1">
        <f t="array" ref="P7">SUM(IF("X"=B7:O7,1,0))</f>
        <v>12</v>
      </c>
    </row>
    <row r="8" spans="1:16" x14ac:dyDescent="0.2">
      <c r="A8" t="s">
        <v>40</v>
      </c>
      <c r="B8" t="s">
        <v>53</v>
      </c>
      <c r="C8" t="s">
        <v>53</v>
      </c>
      <c r="D8" t="s">
        <v>53</v>
      </c>
      <c r="G8" t="s">
        <v>53</v>
      </c>
      <c r="H8" s="10" t="s">
        <v>53</v>
      </c>
      <c r="J8" t="s">
        <v>53</v>
      </c>
      <c r="K8" t="s">
        <v>53</v>
      </c>
      <c r="L8" t="s">
        <v>53</v>
      </c>
      <c r="M8" t="s">
        <v>53</v>
      </c>
      <c r="N8" t="s">
        <v>53</v>
      </c>
      <c r="O8" t="s">
        <v>53</v>
      </c>
      <c r="P8" cm="1">
        <f t="array" ref="P8">SUM(IF("X"=B8:O8,1,0))</f>
        <v>11</v>
      </c>
    </row>
    <row r="9" spans="1:16" x14ac:dyDescent="0.2">
      <c r="A9" t="s">
        <v>41</v>
      </c>
      <c r="B9" t="s">
        <v>53</v>
      </c>
      <c r="C9" t="s">
        <v>53</v>
      </c>
      <c r="D9" t="s">
        <v>53</v>
      </c>
      <c r="E9" t="s">
        <v>53</v>
      </c>
      <c r="G9" t="s">
        <v>53</v>
      </c>
      <c r="H9" s="10" t="s">
        <v>53</v>
      </c>
      <c r="I9" t="s">
        <v>53</v>
      </c>
      <c r="J9" t="s">
        <v>53</v>
      </c>
      <c r="K9" t="s">
        <v>53</v>
      </c>
      <c r="L9" t="s">
        <v>53</v>
      </c>
      <c r="M9" t="s">
        <v>53</v>
      </c>
      <c r="O9" t="s">
        <v>53</v>
      </c>
      <c r="P9" cm="1">
        <f t="array" ref="P9">SUM(IF("X"=B9:O9,1,0))</f>
        <v>12</v>
      </c>
    </row>
    <row r="10" spans="1:16" x14ac:dyDescent="0.2">
      <c r="A10" t="s">
        <v>107</v>
      </c>
      <c r="B10" t="s">
        <v>53</v>
      </c>
      <c r="C10" t="s">
        <v>53</v>
      </c>
      <c r="D10" t="s">
        <v>53</v>
      </c>
      <c r="E10" t="s">
        <v>53</v>
      </c>
      <c r="F10" t="s">
        <v>53</v>
      </c>
      <c r="H10" s="10" t="s">
        <v>53</v>
      </c>
      <c r="J10" t="s">
        <v>53</v>
      </c>
      <c r="K10" t="s">
        <v>53</v>
      </c>
      <c r="M10" t="s">
        <v>53</v>
      </c>
      <c r="N10" t="s">
        <v>53</v>
      </c>
      <c r="O10" t="s">
        <v>53</v>
      </c>
      <c r="P10" cm="1">
        <f t="array" ref="P10">SUM(IF("X"=B10:O10,1,0))</f>
        <v>11</v>
      </c>
    </row>
    <row r="11" spans="1:16" x14ac:dyDescent="0.2">
      <c r="A11" t="s">
        <v>44</v>
      </c>
      <c r="B11" t="s">
        <v>53</v>
      </c>
      <c r="C11" t="s">
        <v>53</v>
      </c>
      <c r="D11" t="s">
        <v>53</v>
      </c>
      <c r="E11" t="s">
        <v>53</v>
      </c>
      <c r="F11" t="s">
        <v>53</v>
      </c>
      <c r="G11" t="s">
        <v>53</v>
      </c>
      <c r="H11" s="10" t="s">
        <v>53</v>
      </c>
      <c r="I11" t="s">
        <v>53</v>
      </c>
      <c r="J11" t="s">
        <v>53</v>
      </c>
      <c r="K11" t="s">
        <v>53</v>
      </c>
      <c r="L11" t="s">
        <v>53</v>
      </c>
      <c r="M11" t="s">
        <v>53</v>
      </c>
      <c r="N11" t="s">
        <v>53</v>
      </c>
      <c r="O11" t="s">
        <v>53</v>
      </c>
      <c r="P11" cm="1">
        <f t="array" ref="P11">SUM(IF("X"=B11:O11,1,0))</f>
        <v>14</v>
      </c>
    </row>
    <row r="12" spans="1:16" x14ac:dyDescent="0.2">
      <c r="A12" t="s">
        <v>46</v>
      </c>
      <c r="B12" t="s">
        <v>53</v>
      </c>
      <c r="C12" t="s">
        <v>53</v>
      </c>
      <c r="D12" t="s">
        <v>53</v>
      </c>
      <c r="E12" t="s">
        <v>53</v>
      </c>
      <c r="F12" t="s">
        <v>53</v>
      </c>
      <c r="G12" t="s">
        <v>53</v>
      </c>
      <c r="H12" s="10" t="s">
        <v>53</v>
      </c>
      <c r="I12" t="s">
        <v>53</v>
      </c>
      <c r="J12" t="s">
        <v>53</v>
      </c>
      <c r="K12" t="s">
        <v>53</v>
      </c>
      <c r="M12" t="s">
        <v>53</v>
      </c>
      <c r="N12" t="s">
        <v>53</v>
      </c>
      <c r="O12" t="s">
        <v>53</v>
      </c>
      <c r="P12" cm="1">
        <f t="array" ref="P12">SUM(IF("X"=B12:O12,1,0))</f>
        <v>13</v>
      </c>
    </row>
    <row r="13" spans="1:16" x14ac:dyDescent="0.2">
      <c r="A13" t="s">
        <v>48</v>
      </c>
      <c r="B13" t="s">
        <v>53</v>
      </c>
      <c r="C13" t="s">
        <v>53</v>
      </c>
      <c r="D13" t="s">
        <v>53</v>
      </c>
      <c r="E13" t="s">
        <v>53</v>
      </c>
      <c r="F13" t="s">
        <v>53</v>
      </c>
      <c r="G13" t="s">
        <v>53</v>
      </c>
      <c r="H13" s="10" t="s">
        <v>53</v>
      </c>
      <c r="I13" t="s">
        <v>53</v>
      </c>
      <c r="J13" t="s">
        <v>53</v>
      </c>
      <c r="K13" t="s">
        <v>53</v>
      </c>
      <c r="L13" t="s">
        <v>53</v>
      </c>
      <c r="M13" t="s">
        <v>53</v>
      </c>
      <c r="N13" t="s">
        <v>53</v>
      </c>
      <c r="P13" cm="1">
        <f t="array" ref="P13">SUM(IF("X"=B13:O13,1,0))</f>
        <v>13</v>
      </c>
    </row>
    <row r="14" spans="1:16" x14ac:dyDescent="0.2">
      <c r="A14" t="s">
        <v>51</v>
      </c>
      <c r="B14" t="s">
        <v>53</v>
      </c>
      <c r="C14" t="s">
        <v>53</v>
      </c>
      <c r="D14" t="s">
        <v>53</v>
      </c>
      <c r="F14" t="s">
        <v>53</v>
      </c>
      <c r="G14" t="s">
        <v>53</v>
      </c>
      <c r="H14" s="10" t="s">
        <v>53</v>
      </c>
      <c r="I14" t="s">
        <v>53</v>
      </c>
      <c r="J14" t="s">
        <v>53</v>
      </c>
      <c r="K14" t="s">
        <v>53</v>
      </c>
      <c r="L14" t="s">
        <v>53</v>
      </c>
      <c r="M14" t="s">
        <v>53</v>
      </c>
      <c r="O14" t="s">
        <v>53</v>
      </c>
      <c r="P14" cm="1">
        <f t="array" ref="P14">SUM(IF("X"=B14:O14,1,0))</f>
        <v>12</v>
      </c>
    </row>
    <row r="15" spans="1:16" x14ac:dyDescent="0.2">
      <c r="A15" t="s">
        <v>52</v>
      </c>
      <c r="B15" t="s">
        <v>53</v>
      </c>
      <c r="G15" t="s">
        <v>53</v>
      </c>
      <c r="H15" s="10" t="s">
        <v>53</v>
      </c>
      <c r="I15" t="s">
        <v>53</v>
      </c>
      <c r="J15" t="s">
        <v>53</v>
      </c>
      <c r="K15" t="s">
        <v>53</v>
      </c>
      <c r="M15" t="s">
        <v>53</v>
      </c>
      <c r="O15" t="s">
        <v>53</v>
      </c>
      <c r="P15" cm="1">
        <f t="array" ref="P15">SUM(IF("X"=B15:O15,1,0))</f>
        <v>8</v>
      </c>
    </row>
    <row r="16" spans="1:16" x14ac:dyDescent="0.2">
      <c r="A16" t="s">
        <v>61</v>
      </c>
      <c r="B16" t="s">
        <v>53</v>
      </c>
      <c r="D16" t="s">
        <v>53</v>
      </c>
      <c r="E16" t="s">
        <v>53</v>
      </c>
      <c r="F16" t="s">
        <v>53</v>
      </c>
      <c r="G16" t="s">
        <v>53</v>
      </c>
      <c r="H16" s="10" t="s">
        <v>53</v>
      </c>
      <c r="J16" t="s">
        <v>53</v>
      </c>
      <c r="K16" t="s">
        <v>53</v>
      </c>
      <c r="L16" t="s">
        <v>53</v>
      </c>
      <c r="M16" t="s">
        <v>53</v>
      </c>
      <c r="N16" t="s">
        <v>53</v>
      </c>
      <c r="P16" cm="1">
        <f t="array" ref="P16">SUM(IF("X"=B16:O16,1,0))</f>
        <v>11</v>
      </c>
    </row>
    <row r="17" spans="1:16" x14ac:dyDescent="0.2">
      <c r="A17" t="s">
        <v>108</v>
      </c>
      <c r="B17" t="s">
        <v>53</v>
      </c>
      <c r="D17" t="s">
        <v>53</v>
      </c>
      <c r="F17" t="s">
        <v>53</v>
      </c>
      <c r="G17" t="s">
        <v>53</v>
      </c>
      <c r="H17" s="10" t="s">
        <v>53</v>
      </c>
      <c r="J17" t="s">
        <v>53</v>
      </c>
      <c r="K17" t="s">
        <v>53</v>
      </c>
      <c r="L17" t="s">
        <v>53</v>
      </c>
      <c r="M17" t="s">
        <v>53</v>
      </c>
      <c r="N17" t="s">
        <v>53</v>
      </c>
      <c r="P17" cm="1">
        <f t="array" ref="P17">SUM(IF("X"=B17:O17,1,0))</f>
        <v>10</v>
      </c>
    </row>
    <row r="18" spans="1:16" x14ac:dyDescent="0.2">
      <c r="A18" t="s">
        <v>45</v>
      </c>
      <c r="B18" t="s">
        <v>53</v>
      </c>
      <c r="C18" t="s">
        <v>53</v>
      </c>
      <c r="D18" t="s">
        <v>53</v>
      </c>
      <c r="E18" t="s">
        <v>53</v>
      </c>
      <c r="F18" t="s">
        <v>53</v>
      </c>
      <c r="G18" t="s">
        <v>53</v>
      </c>
      <c r="H18" s="10" t="s">
        <v>53</v>
      </c>
      <c r="J18" t="s">
        <v>53</v>
      </c>
      <c r="P18" cm="1">
        <f t="array" ref="P18">SUM(IF("X"=B18:O18,1,0))</f>
        <v>8</v>
      </c>
    </row>
    <row r="19" spans="1:16" x14ac:dyDescent="0.2">
      <c r="A19" t="s">
        <v>106</v>
      </c>
      <c r="B19" s="20" t="s">
        <v>53</v>
      </c>
      <c r="C19" s="20" t="s">
        <v>53</v>
      </c>
      <c r="D19" s="20" t="s">
        <v>53</v>
      </c>
      <c r="E19" s="20" t="s">
        <v>53</v>
      </c>
      <c r="F19" s="20" t="s">
        <v>53</v>
      </c>
      <c r="G19" s="20" t="s">
        <v>53</v>
      </c>
      <c r="H19" s="21" t="s">
        <v>53</v>
      </c>
      <c r="I19" s="20" t="s">
        <v>53</v>
      </c>
      <c r="J19" s="20" t="s">
        <v>53</v>
      </c>
      <c r="K19" s="20" t="s">
        <v>53</v>
      </c>
      <c r="L19" s="20" t="s">
        <v>53</v>
      </c>
      <c r="M19" s="20"/>
      <c r="N19" s="20"/>
      <c r="O19" s="20" t="s">
        <v>53</v>
      </c>
      <c r="P19" cm="1">
        <f t="array" ref="P19">SUM(IF("X"=B19:O19,1,0))</f>
        <v>12</v>
      </c>
    </row>
    <row r="20" spans="1:16" x14ac:dyDescent="0.2">
      <c r="A20" t="s">
        <v>103</v>
      </c>
      <c r="B20" t="s">
        <v>53</v>
      </c>
      <c r="C20" t="s">
        <v>53</v>
      </c>
      <c r="D20" t="s">
        <v>53</v>
      </c>
      <c r="F20" t="s">
        <v>53</v>
      </c>
      <c r="G20" t="s">
        <v>53</v>
      </c>
      <c r="H20" s="10" t="s">
        <v>53</v>
      </c>
      <c r="J20" t="s">
        <v>53</v>
      </c>
      <c r="K20" t="s">
        <v>53</v>
      </c>
      <c r="M20" t="s">
        <v>53</v>
      </c>
      <c r="O20" t="s">
        <v>53</v>
      </c>
      <c r="P20" cm="1">
        <f t="array" ref="P20">SUM(IF("X"=B20:O20,1,0))</f>
        <v>10</v>
      </c>
    </row>
    <row r="21" spans="1:16" x14ac:dyDescent="0.2">
      <c r="A21" t="s">
        <v>124</v>
      </c>
      <c r="C21" t="s">
        <v>53</v>
      </c>
      <c r="D21" t="s">
        <v>53</v>
      </c>
      <c r="G21" t="s">
        <v>53</v>
      </c>
      <c r="H21" s="10" t="s">
        <v>53</v>
      </c>
      <c r="I21" t="s">
        <v>53</v>
      </c>
      <c r="J21" t="s">
        <v>53</v>
      </c>
      <c r="K21" t="s">
        <v>53</v>
      </c>
      <c r="L21" t="s">
        <v>53</v>
      </c>
      <c r="M21" t="s">
        <v>53</v>
      </c>
      <c r="N21" t="s">
        <v>53</v>
      </c>
      <c r="O21" t="s">
        <v>53</v>
      </c>
      <c r="P21" cm="1">
        <f t="array" ref="P21">SUM(IF("X"=B21:O21,1,0))</f>
        <v>11</v>
      </c>
    </row>
    <row r="22" spans="1:16" x14ac:dyDescent="0.2">
      <c r="A22" t="s">
        <v>116</v>
      </c>
      <c r="B22" s="20" t="s">
        <v>53</v>
      </c>
      <c r="C22" s="20" t="s">
        <v>53</v>
      </c>
      <c r="D22" s="20" t="s">
        <v>53</v>
      </c>
      <c r="E22" s="20"/>
      <c r="F22" s="20" t="s">
        <v>53</v>
      </c>
      <c r="G22" s="20" t="s">
        <v>53</v>
      </c>
      <c r="H22" s="21" t="s">
        <v>53</v>
      </c>
      <c r="I22" s="20" t="s">
        <v>53</v>
      </c>
      <c r="J22" s="20" t="s">
        <v>53</v>
      </c>
      <c r="K22" s="20" t="s">
        <v>53</v>
      </c>
      <c r="L22" s="20"/>
      <c r="M22" s="20" t="s">
        <v>53</v>
      </c>
      <c r="N22" s="20"/>
      <c r="O22" s="20" t="s">
        <v>53</v>
      </c>
      <c r="P22" cm="1">
        <f t="array" ref="P22">SUM(IF("X"=B22:O22,1,0))</f>
        <v>11</v>
      </c>
    </row>
    <row r="23" spans="1:16" x14ac:dyDescent="0.2">
      <c r="A23" t="s">
        <v>117</v>
      </c>
      <c r="B23" t="s">
        <v>53</v>
      </c>
      <c r="C23" t="s">
        <v>53</v>
      </c>
      <c r="D23" t="s">
        <v>53</v>
      </c>
      <c r="E23" t="s">
        <v>53</v>
      </c>
      <c r="F23" t="s">
        <v>53</v>
      </c>
      <c r="G23" t="s">
        <v>53</v>
      </c>
      <c r="H23" s="10" t="s">
        <v>53</v>
      </c>
      <c r="J23" t="s">
        <v>53</v>
      </c>
      <c r="M23" t="s">
        <v>53</v>
      </c>
      <c r="O23" t="s">
        <v>53</v>
      </c>
      <c r="P23" cm="1">
        <f t="array" ref="P23">SUM(IF("X"=B23:O23,1,0))</f>
        <v>10</v>
      </c>
    </row>
    <row r="24" spans="1:16" x14ac:dyDescent="0.2">
      <c r="A24" t="s">
        <v>118</v>
      </c>
      <c r="B24" t="s">
        <v>53</v>
      </c>
      <c r="C24" t="s">
        <v>53</v>
      </c>
      <c r="D24" t="s">
        <v>53</v>
      </c>
      <c r="E24" t="s">
        <v>53</v>
      </c>
      <c r="F24" t="s">
        <v>53</v>
      </c>
      <c r="G24" t="s">
        <v>53</v>
      </c>
      <c r="H24" s="10" t="s">
        <v>53</v>
      </c>
      <c r="J24" t="s">
        <v>53</v>
      </c>
      <c r="K24" t="s">
        <v>53</v>
      </c>
      <c r="L24" t="s">
        <v>53</v>
      </c>
      <c r="M24" t="s">
        <v>53</v>
      </c>
      <c r="N24" t="s">
        <v>53</v>
      </c>
      <c r="O24" t="s">
        <v>53</v>
      </c>
      <c r="P24" cm="1">
        <f t="array" ref="P24">SUM(IF("X"=B24:O24,1,0))</f>
        <v>13</v>
      </c>
    </row>
    <row r="25" spans="1:16" x14ac:dyDescent="0.2">
      <c r="A25" t="s">
        <v>121</v>
      </c>
      <c r="B25" t="s">
        <v>53</v>
      </c>
      <c r="C25" t="s">
        <v>53</v>
      </c>
      <c r="D25" t="s">
        <v>53</v>
      </c>
      <c r="E25" t="s">
        <v>53</v>
      </c>
      <c r="F25" t="s">
        <v>53</v>
      </c>
      <c r="G25" t="s">
        <v>53</v>
      </c>
      <c r="H25" s="10" t="s">
        <v>53</v>
      </c>
      <c r="K25" t="s">
        <v>53</v>
      </c>
      <c r="L25" t="s">
        <v>53</v>
      </c>
      <c r="M25" t="s">
        <v>53</v>
      </c>
      <c r="O25" t="s">
        <v>53</v>
      </c>
      <c r="P25" cm="1">
        <f t="array" ref="P25">SUM(IF("X"=B25:O25,1,0))</f>
        <v>11</v>
      </c>
    </row>
    <row r="26" spans="1:16" x14ac:dyDescent="0.2">
      <c r="A26" t="s">
        <v>119</v>
      </c>
      <c r="B26" t="s">
        <v>53</v>
      </c>
      <c r="C26" t="s">
        <v>53</v>
      </c>
      <c r="D26" t="s">
        <v>53</v>
      </c>
      <c r="E26" t="s">
        <v>53</v>
      </c>
      <c r="F26" t="s">
        <v>53</v>
      </c>
      <c r="G26" t="s">
        <v>53</v>
      </c>
      <c r="H26" s="10" t="s">
        <v>53</v>
      </c>
      <c r="I26" t="s">
        <v>53</v>
      </c>
      <c r="J26" t="s">
        <v>53</v>
      </c>
      <c r="K26" t="s">
        <v>53</v>
      </c>
      <c r="L26" t="s">
        <v>53</v>
      </c>
      <c r="M26" t="s">
        <v>53</v>
      </c>
      <c r="O26" t="s">
        <v>53</v>
      </c>
      <c r="P26" cm="1">
        <f t="array" ref="P26">SUM(IF("X"=B26:O26,1,0))</f>
        <v>13</v>
      </c>
    </row>
    <row r="27" spans="1:16" x14ac:dyDescent="0.2">
      <c r="A27" t="s">
        <v>122</v>
      </c>
      <c r="B27" t="s">
        <v>53</v>
      </c>
      <c r="C27" t="s">
        <v>53</v>
      </c>
      <c r="D27" t="s">
        <v>53</v>
      </c>
      <c r="E27" t="s">
        <v>53</v>
      </c>
      <c r="F27" t="s">
        <v>53</v>
      </c>
      <c r="G27" t="s">
        <v>53</v>
      </c>
      <c r="H27" s="10" t="s">
        <v>53</v>
      </c>
      <c r="I27" t="s">
        <v>53</v>
      </c>
      <c r="J27" t="s">
        <v>53</v>
      </c>
      <c r="K27" t="s">
        <v>53</v>
      </c>
      <c r="L27" t="s">
        <v>53</v>
      </c>
      <c r="M27" t="s">
        <v>53</v>
      </c>
      <c r="N27" t="s">
        <v>53</v>
      </c>
      <c r="O27" t="s">
        <v>53</v>
      </c>
      <c r="P27" cm="1">
        <f t="array" ref="P27">SUM(IF("X"=B27:O27,1,0))</f>
        <v>14</v>
      </c>
    </row>
    <row r="28" spans="1:16" x14ac:dyDescent="0.2">
      <c r="A28" t="s">
        <v>123</v>
      </c>
      <c r="B28" t="s">
        <v>53</v>
      </c>
      <c r="C28" t="s">
        <v>53</v>
      </c>
      <c r="D28" t="s">
        <v>53</v>
      </c>
      <c r="F28" t="s">
        <v>53</v>
      </c>
      <c r="G28" t="s">
        <v>53</v>
      </c>
      <c r="H28" s="10" t="s">
        <v>53</v>
      </c>
      <c r="I28" t="s">
        <v>53</v>
      </c>
      <c r="J28" t="s">
        <v>53</v>
      </c>
      <c r="K28" t="s">
        <v>53</v>
      </c>
      <c r="M28" t="s">
        <v>53</v>
      </c>
      <c r="O28" t="s">
        <v>53</v>
      </c>
      <c r="P28" cm="1">
        <f t="array" ref="P28">SUM(IF("X"=B28:O28,1,0))</f>
        <v>11</v>
      </c>
    </row>
    <row r="29" spans="1:16" x14ac:dyDescent="0.2">
      <c r="A29" t="s">
        <v>125</v>
      </c>
      <c r="B29" t="s">
        <v>53</v>
      </c>
      <c r="C29" t="s">
        <v>53</v>
      </c>
      <c r="D29" t="s">
        <v>53</v>
      </c>
      <c r="E29" t="s">
        <v>53</v>
      </c>
      <c r="F29" t="s">
        <v>53</v>
      </c>
      <c r="G29" t="s">
        <v>53</v>
      </c>
      <c r="H29" s="10" t="s">
        <v>53</v>
      </c>
      <c r="I29" t="s">
        <v>53</v>
      </c>
      <c r="J29" t="s">
        <v>53</v>
      </c>
      <c r="P29" cm="1">
        <f t="array" ref="P29">SUM(IF("X"=B29:O29,1,0))</f>
        <v>9</v>
      </c>
    </row>
    <row r="30" spans="1:16" x14ac:dyDescent="0.2">
      <c r="A30" t="s">
        <v>126</v>
      </c>
      <c r="B30" t="s">
        <v>53</v>
      </c>
      <c r="F30" t="s">
        <v>53</v>
      </c>
      <c r="G30" t="s">
        <v>53</v>
      </c>
      <c r="H30" s="10" t="s">
        <v>53</v>
      </c>
      <c r="I30" t="s">
        <v>53</v>
      </c>
      <c r="J30" t="s">
        <v>53</v>
      </c>
      <c r="K30" t="s">
        <v>53</v>
      </c>
      <c r="M30" t="s">
        <v>53</v>
      </c>
      <c r="O30" t="s">
        <v>53</v>
      </c>
      <c r="P30" cm="1">
        <f t="array" ref="P30">SUM(IF("X"=B30:O30,1,0))</f>
        <v>9</v>
      </c>
    </row>
    <row r="31" spans="1:16" x14ac:dyDescent="0.2">
      <c r="A31" t="s">
        <v>127</v>
      </c>
      <c r="B31" t="s">
        <v>53</v>
      </c>
      <c r="C31" t="s">
        <v>53</v>
      </c>
      <c r="D31" t="s">
        <v>53</v>
      </c>
      <c r="E31" t="s">
        <v>53</v>
      </c>
      <c r="F31" t="s">
        <v>53</v>
      </c>
      <c r="G31" t="s">
        <v>53</v>
      </c>
      <c r="H31" s="10" t="s">
        <v>53</v>
      </c>
      <c r="I31" t="s">
        <v>53</v>
      </c>
      <c r="J31" t="s">
        <v>53</v>
      </c>
      <c r="K31" t="s">
        <v>53</v>
      </c>
      <c r="M31" t="s">
        <v>53</v>
      </c>
      <c r="O31" t="s">
        <v>53</v>
      </c>
      <c r="P31" cm="1">
        <f t="array" ref="P31">SUM(IF("X"=B31:O31,1,0))</f>
        <v>12</v>
      </c>
    </row>
    <row r="32" spans="1:16" x14ac:dyDescent="0.2">
      <c r="A32" t="s">
        <v>129</v>
      </c>
      <c r="B32" t="s">
        <v>53</v>
      </c>
      <c r="C32" t="s">
        <v>53</v>
      </c>
      <c r="E32" t="s">
        <v>53</v>
      </c>
      <c r="F32" t="s">
        <v>53</v>
      </c>
      <c r="G32" t="s">
        <v>53</v>
      </c>
      <c r="H32" s="10" t="s">
        <v>53</v>
      </c>
      <c r="I32" t="s">
        <v>53</v>
      </c>
      <c r="J32" t="s">
        <v>53</v>
      </c>
      <c r="K32" t="s">
        <v>53</v>
      </c>
      <c r="L32" t="s">
        <v>53</v>
      </c>
      <c r="P32" cm="1">
        <f t="array" ref="P32">SUM(IF("X"=B32:O32,1,0))</f>
        <v>10</v>
      </c>
    </row>
    <row r="33" spans="1:16" x14ac:dyDescent="0.2">
      <c r="A33" t="s">
        <v>130</v>
      </c>
      <c r="B33" t="s">
        <v>53</v>
      </c>
      <c r="C33" t="s">
        <v>53</v>
      </c>
      <c r="D33" t="s">
        <v>53</v>
      </c>
      <c r="F33" t="s">
        <v>53</v>
      </c>
      <c r="G33" t="s">
        <v>53</v>
      </c>
      <c r="H33" s="10" t="s">
        <v>53</v>
      </c>
      <c r="J33" t="s">
        <v>53</v>
      </c>
      <c r="L33" t="s">
        <v>53</v>
      </c>
      <c r="M33" t="s">
        <v>53</v>
      </c>
      <c r="N33" t="s">
        <v>53</v>
      </c>
      <c r="O33" t="s">
        <v>53</v>
      </c>
      <c r="P33" cm="1">
        <f t="array" ref="P33">SUM(IF("X"=B33:O33,1,0))</f>
        <v>11</v>
      </c>
    </row>
    <row r="34" spans="1:16" x14ac:dyDescent="0.2">
      <c r="A34" t="s">
        <v>131</v>
      </c>
      <c r="B34" t="s">
        <v>53</v>
      </c>
      <c r="C34" t="s">
        <v>53</v>
      </c>
      <c r="D34" t="s">
        <v>53</v>
      </c>
      <c r="E34" t="s">
        <v>53</v>
      </c>
      <c r="F34" t="s">
        <v>53</v>
      </c>
      <c r="G34" t="s">
        <v>53</v>
      </c>
      <c r="H34" s="10" t="s">
        <v>53</v>
      </c>
      <c r="I34" t="s">
        <v>53</v>
      </c>
      <c r="J34" t="s">
        <v>53</v>
      </c>
      <c r="L34" t="s">
        <v>53</v>
      </c>
      <c r="M34" t="s">
        <v>53</v>
      </c>
      <c r="P34" cm="1">
        <f t="array" ref="P34">SUM(IF("X"=B34:O34,1,0))</f>
        <v>11</v>
      </c>
    </row>
    <row r="35" spans="1:16" x14ac:dyDescent="0.2">
      <c r="A35" t="s">
        <v>159</v>
      </c>
      <c r="B35" t="s">
        <v>53</v>
      </c>
      <c r="C35" t="s">
        <v>53</v>
      </c>
      <c r="D35" t="s">
        <v>53</v>
      </c>
      <c r="E35" t="s">
        <v>53</v>
      </c>
      <c r="G35" t="s">
        <v>53</v>
      </c>
      <c r="H35" s="10" t="s">
        <v>53</v>
      </c>
      <c r="J35" t="s">
        <v>53</v>
      </c>
      <c r="K35" t="s">
        <v>53</v>
      </c>
      <c r="L35" t="s">
        <v>53</v>
      </c>
      <c r="M35" t="s">
        <v>53</v>
      </c>
      <c r="O35" t="s">
        <v>53</v>
      </c>
      <c r="P35" cm="1">
        <f t="array" ref="P35">SUM(IF("X"=B35:O35,1,0))</f>
        <v>11</v>
      </c>
    </row>
    <row r="36" spans="1:16" x14ac:dyDescent="0.2">
      <c r="A36" t="s">
        <v>160</v>
      </c>
      <c r="B36" t="s">
        <v>53</v>
      </c>
      <c r="C36" t="s">
        <v>53</v>
      </c>
      <c r="G36" t="s">
        <v>53</v>
      </c>
      <c r="H36" s="10" t="s">
        <v>53</v>
      </c>
      <c r="J36" t="s">
        <v>53</v>
      </c>
      <c r="K36" t="s">
        <v>53</v>
      </c>
      <c r="L36" t="s">
        <v>53</v>
      </c>
      <c r="P36" cm="1">
        <f t="array" ref="P36">SUM(IF("X"=B36:O36,1,0))</f>
        <v>7</v>
      </c>
    </row>
    <row r="37" spans="1:16" x14ac:dyDescent="0.2">
      <c r="A37" t="s">
        <v>161</v>
      </c>
      <c r="B37" t="s">
        <v>53</v>
      </c>
      <c r="C37" t="s">
        <v>53</v>
      </c>
      <c r="D37" t="s">
        <v>53</v>
      </c>
      <c r="E37" t="s">
        <v>53</v>
      </c>
      <c r="F37" t="s">
        <v>53</v>
      </c>
      <c r="G37" t="s">
        <v>53</v>
      </c>
      <c r="H37" s="10" t="s">
        <v>53</v>
      </c>
      <c r="K37" t="s">
        <v>53</v>
      </c>
      <c r="L37" t="s">
        <v>53</v>
      </c>
      <c r="M37" t="s">
        <v>53</v>
      </c>
      <c r="O37" t="s">
        <v>53</v>
      </c>
      <c r="P37" cm="1">
        <f t="array" ref="P37">SUM(IF("X"=B37:O37,1,0))</f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F9531-7548-9A4D-A06F-1C74281E2B49}">
  <dimension ref="A1:D9"/>
  <sheetViews>
    <sheetView workbookViewId="0">
      <selection activeCell="D18" sqref="D18"/>
    </sheetView>
  </sheetViews>
  <sheetFormatPr baseColWidth="10" defaultRowHeight="16" x14ac:dyDescent="0.2"/>
  <cols>
    <col min="1" max="1" width="28.5" bestFit="1" customWidth="1"/>
    <col min="2" max="2" width="15.6640625" customWidth="1"/>
    <col min="4" max="4" width="75.1640625" bestFit="1" customWidth="1"/>
  </cols>
  <sheetData>
    <row r="1" spans="1:4" x14ac:dyDescent="0.2">
      <c r="A1" s="10" t="s">
        <v>132</v>
      </c>
      <c r="B1" s="10" t="s">
        <v>137</v>
      </c>
      <c r="C1" s="10" t="s">
        <v>133</v>
      </c>
      <c r="D1" s="10" t="s">
        <v>135</v>
      </c>
    </row>
    <row r="2" spans="1:4" x14ac:dyDescent="0.2">
      <c r="A2" t="s">
        <v>158</v>
      </c>
      <c r="B2" t="s">
        <v>138</v>
      </c>
      <c r="C2" t="s">
        <v>134</v>
      </c>
      <c r="D2" t="s">
        <v>136</v>
      </c>
    </row>
    <row r="3" spans="1:4" x14ac:dyDescent="0.2">
      <c r="A3" t="s">
        <v>104</v>
      </c>
      <c r="B3" t="s">
        <v>139</v>
      </c>
      <c r="C3" t="s">
        <v>134</v>
      </c>
      <c r="D3" t="s">
        <v>140</v>
      </c>
    </row>
    <row r="4" spans="1:4" x14ac:dyDescent="0.2">
      <c r="A4" t="s">
        <v>141</v>
      </c>
      <c r="B4" t="s">
        <v>142</v>
      </c>
      <c r="C4" t="s">
        <v>134</v>
      </c>
      <c r="D4" t="s">
        <v>143</v>
      </c>
    </row>
    <row r="5" spans="1:4" x14ac:dyDescent="0.2">
      <c r="A5" t="s">
        <v>144</v>
      </c>
      <c r="B5" t="s">
        <v>145</v>
      </c>
      <c r="C5" t="s">
        <v>134</v>
      </c>
      <c r="D5" t="s">
        <v>146</v>
      </c>
    </row>
    <row r="6" spans="1:4" x14ac:dyDescent="0.2">
      <c r="A6" t="s">
        <v>147</v>
      </c>
      <c r="B6" t="s">
        <v>148</v>
      </c>
      <c r="C6" t="s">
        <v>134</v>
      </c>
      <c r="D6" t="s">
        <v>149</v>
      </c>
    </row>
    <row r="7" spans="1:4" x14ac:dyDescent="0.2">
      <c r="A7" t="s">
        <v>150</v>
      </c>
      <c r="B7" t="s">
        <v>151</v>
      </c>
      <c r="C7" t="s">
        <v>134</v>
      </c>
      <c r="D7" t="s">
        <v>152</v>
      </c>
    </row>
    <row r="8" spans="1:4" x14ac:dyDescent="0.2">
      <c r="A8" t="s">
        <v>153</v>
      </c>
      <c r="B8" t="s">
        <v>154</v>
      </c>
      <c r="C8" t="s">
        <v>134</v>
      </c>
      <c r="D8" t="s">
        <v>155</v>
      </c>
    </row>
    <row r="9" spans="1:4" x14ac:dyDescent="0.2">
      <c r="A9" t="s">
        <v>128</v>
      </c>
      <c r="B9" t="s">
        <v>156</v>
      </c>
      <c r="C9" t="s">
        <v>134</v>
      </c>
      <c r="D9" t="s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A4449-A6C6-8246-8721-E14EF6694C22}">
  <dimension ref="A1:AG342"/>
  <sheetViews>
    <sheetView zoomScaleNormal="100" workbookViewId="0">
      <pane ySplit="1" topLeftCell="A31" activePane="bottomLeft" state="frozen"/>
      <selection pane="bottomLeft" activeCell="G56" sqref="G56"/>
    </sheetView>
  </sheetViews>
  <sheetFormatPr baseColWidth="10" defaultRowHeight="16" x14ac:dyDescent="0.2"/>
  <cols>
    <col min="1" max="1" width="19.6640625" bestFit="1" customWidth="1"/>
    <col min="2" max="2" width="11.33203125" bestFit="1" customWidth="1"/>
    <col min="3" max="3" width="11.6640625" bestFit="1" customWidth="1"/>
    <col min="6" max="7" width="10.83203125" customWidth="1"/>
    <col min="8" max="8" width="12.1640625" bestFit="1" customWidth="1"/>
    <col min="29" max="29" width="12.1640625" bestFit="1" customWidth="1"/>
  </cols>
  <sheetData>
    <row r="1" spans="1:33" s="3" customFormat="1" ht="19" x14ac:dyDescent="0.25">
      <c r="A1" s="3" t="s">
        <v>0</v>
      </c>
      <c r="B1" s="3" t="s">
        <v>1</v>
      </c>
      <c r="C1" s="3" t="s">
        <v>2</v>
      </c>
      <c r="F1" s="4">
        <v>1</v>
      </c>
      <c r="G1" s="4">
        <v>2</v>
      </c>
      <c r="H1" s="4">
        <v>3</v>
      </c>
      <c r="I1" s="4">
        <v>4</v>
      </c>
      <c r="J1" s="4">
        <v>5</v>
      </c>
      <c r="K1" s="4">
        <v>6</v>
      </c>
      <c r="L1" s="4">
        <v>7</v>
      </c>
      <c r="M1" s="4">
        <v>8</v>
      </c>
      <c r="N1" s="4">
        <v>9</v>
      </c>
      <c r="O1" s="4">
        <v>10</v>
      </c>
      <c r="P1" s="4">
        <v>11</v>
      </c>
      <c r="Q1" s="4">
        <v>12</v>
      </c>
      <c r="R1" s="4">
        <v>13</v>
      </c>
      <c r="S1" s="4">
        <v>14</v>
      </c>
      <c r="T1" s="4">
        <v>15</v>
      </c>
      <c r="U1" s="4">
        <v>16</v>
      </c>
      <c r="V1" s="4">
        <v>17</v>
      </c>
      <c r="W1" s="4">
        <v>18</v>
      </c>
      <c r="X1" s="4">
        <v>19</v>
      </c>
      <c r="Y1" s="4">
        <v>20</v>
      </c>
      <c r="Z1" s="4">
        <v>21</v>
      </c>
      <c r="AA1" s="4">
        <v>22</v>
      </c>
      <c r="AB1" s="3" t="s">
        <v>55</v>
      </c>
      <c r="AC1" s="3" t="s">
        <v>56</v>
      </c>
    </row>
    <row r="2" spans="1:33" x14ac:dyDescent="0.2">
      <c r="A2" t="s">
        <v>3</v>
      </c>
      <c r="B2">
        <v>15</v>
      </c>
      <c r="C2">
        <v>16</v>
      </c>
      <c r="I2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  <c r="S2" t="s">
        <v>43</v>
      </c>
      <c r="T2" t="s">
        <v>53</v>
      </c>
      <c r="U2" t="s">
        <v>53</v>
      </c>
      <c r="V2" t="s">
        <v>53</v>
      </c>
      <c r="W2" t="s">
        <v>53</v>
      </c>
      <c r="Y2" t="s">
        <v>53</v>
      </c>
      <c r="Z2" t="s">
        <v>53</v>
      </c>
      <c r="AB2" cm="1">
        <f t="array" ref="AB2">SUM(IF("X" = F2:AA2, 1, 0))</f>
        <v>15</v>
      </c>
      <c r="AC2" cm="1">
        <f t="array" ref="AC2">SUM(IF("?" = F2:AA2, 1, 0)) + AB2</f>
        <v>16</v>
      </c>
      <c r="AF2" t="b">
        <f>AB2=B2</f>
        <v>1</v>
      </c>
      <c r="AG2" t="b">
        <f>AC2=C2</f>
        <v>1</v>
      </c>
    </row>
    <row r="3" spans="1:33" x14ac:dyDescent="0.2">
      <c r="A3" t="s">
        <v>5</v>
      </c>
      <c r="B3">
        <v>13</v>
      </c>
      <c r="C3">
        <v>13</v>
      </c>
      <c r="F3" t="s">
        <v>53</v>
      </c>
      <c r="G3" t="s">
        <v>53</v>
      </c>
      <c r="O3" t="s">
        <v>53</v>
      </c>
      <c r="P3" t="s">
        <v>53</v>
      </c>
      <c r="Q3" t="s">
        <v>53</v>
      </c>
      <c r="R3" t="s">
        <v>53</v>
      </c>
      <c r="T3" t="s">
        <v>53</v>
      </c>
      <c r="U3" t="s">
        <v>53</v>
      </c>
      <c r="V3" t="s">
        <v>53</v>
      </c>
      <c r="W3" t="s">
        <v>53</v>
      </c>
      <c r="X3" t="s">
        <v>53</v>
      </c>
      <c r="Y3" t="s">
        <v>53</v>
      </c>
      <c r="AA3" t="s">
        <v>53</v>
      </c>
      <c r="AB3" cm="1">
        <f t="array" ref="AB3">SUM(IF("X" = F3:AA3, 1, 0))</f>
        <v>13</v>
      </c>
      <c r="AC3" cm="1">
        <f t="array" ref="AC3">SUM(IF("?" = F3:AA3, 1, 0)) + AB3</f>
        <v>13</v>
      </c>
      <c r="AF3" t="b">
        <f t="shared" ref="AF3:AG33" si="0">AB3=B3</f>
        <v>1</v>
      </c>
      <c r="AG3" t="b">
        <f t="shared" si="0"/>
        <v>1</v>
      </c>
    </row>
    <row r="4" spans="1:33" x14ac:dyDescent="0.2">
      <c r="A4" s="8" t="s">
        <v>6</v>
      </c>
      <c r="B4">
        <v>19</v>
      </c>
      <c r="C4">
        <v>19</v>
      </c>
      <c r="F4" t="s">
        <v>53</v>
      </c>
      <c r="G4" t="s">
        <v>53</v>
      </c>
      <c r="H4" t="s">
        <v>53</v>
      </c>
      <c r="I4" t="s">
        <v>53</v>
      </c>
      <c r="J4" t="s">
        <v>53</v>
      </c>
      <c r="K4" t="s">
        <v>53</v>
      </c>
      <c r="L4" t="s">
        <v>53</v>
      </c>
      <c r="M4" t="s">
        <v>53</v>
      </c>
      <c r="O4" t="s">
        <v>53</v>
      </c>
      <c r="P4" t="s">
        <v>53</v>
      </c>
      <c r="Q4" t="s">
        <v>53</v>
      </c>
      <c r="R4" t="s">
        <v>53</v>
      </c>
      <c r="S4" t="s">
        <v>53</v>
      </c>
      <c r="T4" t="s">
        <v>53</v>
      </c>
      <c r="U4" t="s">
        <v>53</v>
      </c>
      <c r="W4" t="s">
        <v>53</v>
      </c>
      <c r="X4" t="s">
        <v>53</v>
      </c>
      <c r="Y4" t="s">
        <v>53</v>
      </c>
      <c r="AA4" t="s">
        <v>53</v>
      </c>
      <c r="AB4" cm="1">
        <f t="array" ref="AB4">SUM(IF("X" = F4:AA4, 1, 0))</f>
        <v>19</v>
      </c>
      <c r="AC4" cm="1">
        <f t="array" ref="AC4">SUM(IF("?" = F4:AA4, 1, 0)) + AB4</f>
        <v>19</v>
      </c>
      <c r="AF4" t="b">
        <f t="shared" si="0"/>
        <v>1</v>
      </c>
      <c r="AG4" t="b">
        <f t="shared" si="0"/>
        <v>1</v>
      </c>
    </row>
    <row r="5" spans="1:33" x14ac:dyDescent="0.2">
      <c r="A5" t="s">
        <v>7</v>
      </c>
      <c r="B5">
        <v>12</v>
      </c>
      <c r="C5">
        <v>13</v>
      </c>
      <c r="G5" t="s">
        <v>53</v>
      </c>
      <c r="I5" t="s">
        <v>53</v>
      </c>
      <c r="J5" t="s">
        <v>53</v>
      </c>
      <c r="K5" t="s">
        <v>53</v>
      </c>
      <c r="L5" t="s">
        <v>53</v>
      </c>
      <c r="M5" t="s">
        <v>53</v>
      </c>
      <c r="O5" t="s">
        <v>43</v>
      </c>
      <c r="T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cm="1">
        <f t="array" ref="AB5">SUM(IF("X" = F5:AA5, 1, 0))</f>
        <v>12</v>
      </c>
      <c r="AC5" cm="1">
        <f t="array" ref="AC5">SUM(IF("?" = F5:AA5, 1, 0)) + AB5</f>
        <v>13</v>
      </c>
      <c r="AF5" t="b">
        <f t="shared" si="0"/>
        <v>1</v>
      </c>
      <c r="AG5" t="b">
        <f t="shared" si="0"/>
        <v>1</v>
      </c>
    </row>
    <row r="6" spans="1:33" x14ac:dyDescent="0.2">
      <c r="A6" t="s">
        <v>8</v>
      </c>
      <c r="B6">
        <v>16</v>
      </c>
      <c r="C6">
        <v>16</v>
      </c>
      <c r="G6" t="s">
        <v>53</v>
      </c>
      <c r="I6" t="s">
        <v>53</v>
      </c>
      <c r="J6" t="s">
        <v>53</v>
      </c>
      <c r="K6" t="s">
        <v>53</v>
      </c>
      <c r="L6" t="s">
        <v>53</v>
      </c>
      <c r="M6" t="s">
        <v>53</v>
      </c>
      <c r="N6" t="s">
        <v>53</v>
      </c>
      <c r="O6" t="s">
        <v>53</v>
      </c>
      <c r="P6" t="s">
        <v>53</v>
      </c>
      <c r="R6" t="s">
        <v>53</v>
      </c>
      <c r="T6" t="s">
        <v>53</v>
      </c>
      <c r="U6" t="s">
        <v>53</v>
      </c>
      <c r="V6" t="s">
        <v>53</v>
      </c>
      <c r="W6" t="s">
        <v>53</v>
      </c>
      <c r="Y6" t="s">
        <v>53</v>
      </c>
      <c r="AA6" t="s">
        <v>53</v>
      </c>
      <c r="AB6" cm="1">
        <f t="array" ref="AB6">SUM(IF("X" = F6:AA6, 1, 0))</f>
        <v>16</v>
      </c>
      <c r="AC6" cm="1">
        <f t="array" ref="AC6">SUM(IF("?" = F6:AA6, 1, 0)) + AB6</f>
        <v>16</v>
      </c>
      <c r="AF6" t="b">
        <f t="shared" si="0"/>
        <v>1</v>
      </c>
      <c r="AG6" t="b">
        <f t="shared" si="0"/>
        <v>1</v>
      </c>
    </row>
    <row r="7" spans="1:33" x14ac:dyDescent="0.2">
      <c r="A7" t="s">
        <v>9</v>
      </c>
      <c r="B7">
        <v>12</v>
      </c>
      <c r="C7">
        <v>14</v>
      </c>
      <c r="F7" t="s">
        <v>53</v>
      </c>
      <c r="G7" t="s">
        <v>53</v>
      </c>
      <c r="H7" t="s">
        <v>53</v>
      </c>
      <c r="M7" t="s">
        <v>53</v>
      </c>
      <c r="N7" t="s">
        <v>53</v>
      </c>
      <c r="O7" t="s">
        <v>53</v>
      </c>
      <c r="Q7" t="s">
        <v>53</v>
      </c>
      <c r="R7" t="s">
        <v>53</v>
      </c>
      <c r="S7" t="s">
        <v>43</v>
      </c>
      <c r="T7" t="s">
        <v>53</v>
      </c>
      <c r="U7" t="s">
        <v>43</v>
      </c>
      <c r="V7" t="s">
        <v>53</v>
      </c>
      <c r="Y7" t="s">
        <v>53</v>
      </c>
      <c r="AA7" t="s">
        <v>53</v>
      </c>
      <c r="AB7" cm="1">
        <f t="array" ref="AB7">SUM(IF("X" = F7:AA7, 1, 0))</f>
        <v>12</v>
      </c>
      <c r="AC7" cm="1">
        <f t="array" ref="AC7">SUM(IF("?" = F7:AA7, 1, 0)) + AB7</f>
        <v>14</v>
      </c>
      <c r="AF7" t="b">
        <f t="shared" si="0"/>
        <v>1</v>
      </c>
      <c r="AG7" t="b">
        <f t="shared" si="0"/>
        <v>1</v>
      </c>
    </row>
    <row r="8" spans="1:33" x14ac:dyDescent="0.2">
      <c r="A8" s="8" t="s">
        <v>10</v>
      </c>
      <c r="B8">
        <v>17</v>
      </c>
      <c r="C8">
        <v>18</v>
      </c>
      <c r="F8" t="s">
        <v>53</v>
      </c>
      <c r="G8" t="s">
        <v>53</v>
      </c>
      <c r="H8" t="s">
        <v>53</v>
      </c>
      <c r="I8" t="s">
        <v>53</v>
      </c>
      <c r="J8" t="s">
        <v>53</v>
      </c>
      <c r="K8" t="s">
        <v>53</v>
      </c>
      <c r="M8" t="s">
        <v>53</v>
      </c>
      <c r="N8" t="s">
        <v>53</v>
      </c>
      <c r="O8" t="s">
        <v>43</v>
      </c>
      <c r="P8" t="s">
        <v>53</v>
      </c>
      <c r="Q8" t="s">
        <v>53</v>
      </c>
      <c r="R8" t="s">
        <v>53</v>
      </c>
      <c r="S8" t="s">
        <v>53</v>
      </c>
      <c r="T8" t="s">
        <v>53</v>
      </c>
      <c r="U8" t="s">
        <v>53</v>
      </c>
      <c r="W8" t="s">
        <v>53</v>
      </c>
      <c r="Z8" t="s">
        <v>53</v>
      </c>
      <c r="AA8" t="s">
        <v>53</v>
      </c>
      <c r="AB8" cm="1">
        <f t="array" ref="AB8">SUM(IF("X" = F8:AA8, 1, 0))</f>
        <v>17</v>
      </c>
      <c r="AC8" cm="1">
        <f t="array" ref="AC8">SUM(IF("?" = F8:AA8, 1, 0)) + AB8</f>
        <v>18</v>
      </c>
      <c r="AF8" t="b">
        <f t="shared" si="0"/>
        <v>1</v>
      </c>
      <c r="AG8" t="b">
        <f t="shared" si="0"/>
        <v>1</v>
      </c>
    </row>
    <row r="9" spans="1:33" x14ac:dyDescent="0.2">
      <c r="A9" s="9" t="s">
        <v>54</v>
      </c>
      <c r="B9">
        <v>16</v>
      </c>
      <c r="C9">
        <v>19</v>
      </c>
      <c r="F9" t="s">
        <v>53</v>
      </c>
      <c r="G9" t="s">
        <v>53</v>
      </c>
      <c r="H9" t="s">
        <v>53</v>
      </c>
      <c r="J9" t="s">
        <v>53</v>
      </c>
      <c r="K9" t="s">
        <v>53</v>
      </c>
      <c r="L9" t="s">
        <v>53</v>
      </c>
      <c r="M9" t="s">
        <v>53</v>
      </c>
      <c r="N9" t="s">
        <v>53</v>
      </c>
      <c r="O9" t="s">
        <v>43</v>
      </c>
      <c r="P9" t="s">
        <v>53</v>
      </c>
      <c r="Q9" t="s">
        <v>53</v>
      </c>
      <c r="R9" t="s">
        <v>53</v>
      </c>
      <c r="S9" t="s">
        <v>43</v>
      </c>
      <c r="T9" t="s">
        <v>53</v>
      </c>
      <c r="U9" t="s">
        <v>53</v>
      </c>
      <c r="W9" t="s">
        <v>53</v>
      </c>
      <c r="X9" t="s">
        <v>53</v>
      </c>
      <c r="Y9" t="s">
        <v>53</v>
      </c>
      <c r="AA9" t="s">
        <v>43</v>
      </c>
      <c r="AB9" cm="1">
        <f t="array" ref="AB9">SUM(IF("X" = F9:AA9, 1, 0))</f>
        <v>16</v>
      </c>
      <c r="AC9" cm="1">
        <f t="array" ref="AC9">SUM(IF("?" = F9:AA9, 1, 0)) + AB9</f>
        <v>19</v>
      </c>
      <c r="AF9" t="b">
        <f t="shared" si="0"/>
        <v>1</v>
      </c>
      <c r="AG9" t="b">
        <f t="shared" si="0"/>
        <v>1</v>
      </c>
    </row>
    <row r="10" spans="1:33" x14ac:dyDescent="0.2">
      <c r="A10" t="s">
        <v>11</v>
      </c>
      <c r="B10">
        <v>14</v>
      </c>
      <c r="C10">
        <v>15</v>
      </c>
      <c r="F10" t="s">
        <v>53</v>
      </c>
      <c r="G10" t="s">
        <v>53</v>
      </c>
      <c r="H10" t="s">
        <v>53</v>
      </c>
      <c r="J10" t="s">
        <v>53</v>
      </c>
      <c r="K10" t="s">
        <v>53</v>
      </c>
      <c r="M10" t="s">
        <v>53</v>
      </c>
      <c r="Q10" t="s">
        <v>53</v>
      </c>
      <c r="R10" t="s">
        <v>53</v>
      </c>
      <c r="S10" t="s">
        <v>43</v>
      </c>
      <c r="T10" t="s">
        <v>53</v>
      </c>
      <c r="U10" t="s">
        <v>53</v>
      </c>
      <c r="W10" t="s">
        <v>53</v>
      </c>
      <c r="X10" t="s">
        <v>53</v>
      </c>
      <c r="Z10" t="s">
        <v>53</v>
      </c>
      <c r="AA10" t="s">
        <v>53</v>
      </c>
      <c r="AB10" cm="1">
        <f t="array" ref="AB10">SUM(IF("X" = F10:AA10, 1, 0))</f>
        <v>14</v>
      </c>
      <c r="AC10" cm="1">
        <f t="array" ref="AC10">SUM(IF("?" = F10:AA10, 1, 0)) + AB10</f>
        <v>15</v>
      </c>
      <c r="AF10" t="b">
        <f t="shared" si="0"/>
        <v>1</v>
      </c>
      <c r="AG10" t="b">
        <f t="shared" si="0"/>
        <v>1</v>
      </c>
    </row>
    <row r="11" spans="1:33" x14ac:dyDescent="0.2">
      <c r="A11" s="9" t="s">
        <v>12</v>
      </c>
      <c r="B11">
        <v>15</v>
      </c>
      <c r="C11">
        <v>17</v>
      </c>
      <c r="F11" t="s">
        <v>53</v>
      </c>
      <c r="G11" t="s">
        <v>53</v>
      </c>
      <c r="H11" t="s">
        <v>53</v>
      </c>
      <c r="J11" t="s">
        <v>53</v>
      </c>
      <c r="K11" t="s">
        <v>53</v>
      </c>
      <c r="L11" t="s">
        <v>53</v>
      </c>
      <c r="M11" t="s">
        <v>53</v>
      </c>
      <c r="N11" t="s">
        <v>53</v>
      </c>
      <c r="O11" t="s">
        <v>53</v>
      </c>
      <c r="Q11" t="s">
        <v>53</v>
      </c>
      <c r="R11" t="s">
        <v>53</v>
      </c>
      <c r="S11" t="s">
        <v>43</v>
      </c>
      <c r="T11" t="s">
        <v>53</v>
      </c>
      <c r="U11" t="s">
        <v>53</v>
      </c>
      <c r="V11" t="s">
        <v>53</v>
      </c>
      <c r="W11" t="s">
        <v>53</v>
      </c>
      <c r="AA11" t="s">
        <v>43</v>
      </c>
      <c r="AB11" cm="1">
        <f t="array" ref="AB11">SUM(IF("X" = F11:AA11, 1, 0))</f>
        <v>15</v>
      </c>
      <c r="AC11" cm="1">
        <f t="array" ref="AC11">SUM(IF("?" = F11:AA11, 1, 0)) + AB11</f>
        <v>17</v>
      </c>
      <c r="AF11" t="b">
        <f t="shared" si="0"/>
        <v>1</v>
      </c>
      <c r="AG11" t="b">
        <f t="shared" si="0"/>
        <v>1</v>
      </c>
    </row>
    <row r="12" spans="1:33" x14ac:dyDescent="0.2">
      <c r="A12" s="9" t="s">
        <v>13</v>
      </c>
      <c r="B12">
        <v>13</v>
      </c>
      <c r="C12">
        <v>17</v>
      </c>
      <c r="F12" t="s">
        <v>53</v>
      </c>
      <c r="G12" t="s">
        <v>53</v>
      </c>
      <c r="I12" t="s">
        <v>53</v>
      </c>
      <c r="J12" t="s">
        <v>43</v>
      </c>
      <c r="K12" t="s">
        <v>53</v>
      </c>
      <c r="L12" t="s">
        <v>53</v>
      </c>
      <c r="M12" t="s">
        <v>53</v>
      </c>
      <c r="N12" t="s">
        <v>53</v>
      </c>
      <c r="P12" t="s">
        <v>53</v>
      </c>
      <c r="Q12" t="s">
        <v>53</v>
      </c>
      <c r="R12" t="s">
        <v>53</v>
      </c>
      <c r="S12" t="s">
        <v>43</v>
      </c>
      <c r="T12" t="s">
        <v>53</v>
      </c>
      <c r="U12" t="s">
        <v>53</v>
      </c>
      <c r="W12" t="s">
        <v>53</v>
      </c>
      <c r="Z12" t="s">
        <v>43</v>
      </c>
      <c r="AA12" t="s">
        <v>43</v>
      </c>
      <c r="AB12" cm="1">
        <f t="array" ref="AB12">SUM(IF("X" = F12:AA12, 1, 0))</f>
        <v>13</v>
      </c>
      <c r="AC12" cm="1">
        <f t="array" ref="AC12">SUM(IF("?" = F12:AA12, 1, 0)) + AB12</f>
        <v>17</v>
      </c>
      <c r="AF12" t="b">
        <f t="shared" si="0"/>
        <v>1</v>
      </c>
      <c r="AG12" t="b">
        <f t="shared" si="0"/>
        <v>1</v>
      </c>
    </row>
    <row r="13" spans="1:33" x14ac:dyDescent="0.2">
      <c r="A13" t="s">
        <v>57</v>
      </c>
      <c r="B13">
        <v>13</v>
      </c>
      <c r="C13">
        <v>15</v>
      </c>
      <c r="F13" t="s">
        <v>53</v>
      </c>
      <c r="G13" t="s">
        <v>53</v>
      </c>
      <c r="J13" t="s">
        <v>53</v>
      </c>
      <c r="M13" t="s">
        <v>53</v>
      </c>
      <c r="N13" t="s">
        <v>53</v>
      </c>
      <c r="O13" t="s">
        <v>53</v>
      </c>
      <c r="P13" t="s">
        <v>53</v>
      </c>
      <c r="Q13" t="s">
        <v>53</v>
      </c>
      <c r="R13" t="s">
        <v>53</v>
      </c>
      <c r="S13" t="s">
        <v>43</v>
      </c>
      <c r="T13" t="s">
        <v>53</v>
      </c>
      <c r="U13" t="s">
        <v>53</v>
      </c>
      <c r="V13" t="s">
        <v>53</v>
      </c>
      <c r="Y13" t="s">
        <v>53</v>
      </c>
      <c r="AA13" t="s">
        <v>43</v>
      </c>
      <c r="AB13" cm="1">
        <f t="array" ref="AB13">SUM(IF("X" = F13:AA13, 1, 0))</f>
        <v>13</v>
      </c>
      <c r="AC13" cm="1">
        <f t="array" ref="AC13">SUM(IF("?" = F13:AA13, 1, 0)) + AB13</f>
        <v>15</v>
      </c>
      <c r="AF13" t="b">
        <f t="shared" si="0"/>
        <v>1</v>
      </c>
      <c r="AG13" t="b">
        <f t="shared" si="0"/>
        <v>1</v>
      </c>
    </row>
    <row r="14" spans="1:33" x14ac:dyDescent="0.2">
      <c r="A14" t="s">
        <v>14</v>
      </c>
      <c r="B14">
        <v>13</v>
      </c>
      <c r="C14">
        <v>15</v>
      </c>
      <c r="F14" t="s">
        <v>53</v>
      </c>
      <c r="G14" t="s">
        <v>53</v>
      </c>
      <c r="J14" t="s">
        <v>53</v>
      </c>
      <c r="K14" t="s">
        <v>53</v>
      </c>
      <c r="N14" t="s">
        <v>53</v>
      </c>
      <c r="O14" t="s">
        <v>43</v>
      </c>
      <c r="P14" t="s">
        <v>53</v>
      </c>
      <c r="Q14" t="s">
        <v>53</v>
      </c>
      <c r="R14" t="s">
        <v>53</v>
      </c>
      <c r="T14" t="s">
        <v>53</v>
      </c>
      <c r="U14" t="s">
        <v>53</v>
      </c>
      <c r="W14" t="s">
        <v>53</v>
      </c>
      <c r="X14" t="s">
        <v>53</v>
      </c>
      <c r="Y14" t="s">
        <v>53</v>
      </c>
      <c r="AA14" t="s">
        <v>43</v>
      </c>
      <c r="AB14" cm="1">
        <f t="array" ref="AB14">SUM(IF("X" = F14:AA14, 1, 0))</f>
        <v>13</v>
      </c>
      <c r="AC14" cm="1">
        <f t="array" ref="AC14">SUM(IF("?" = F14:AA14, 1, 0)) + AB14</f>
        <v>15</v>
      </c>
      <c r="AF14" t="b">
        <f t="shared" si="0"/>
        <v>1</v>
      </c>
      <c r="AG14" t="b">
        <f t="shared" si="0"/>
        <v>1</v>
      </c>
    </row>
    <row r="15" spans="1:33" x14ac:dyDescent="0.2">
      <c r="A15" s="9" t="s">
        <v>15</v>
      </c>
      <c r="B15">
        <v>14</v>
      </c>
      <c r="C15">
        <v>17</v>
      </c>
      <c r="F15" t="s">
        <v>53</v>
      </c>
      <c r="G15" t="s">
        <v>53</v>
      </c>
      <c r="H15" t="s">
        <v>53</v>
      </c>
      <c r="I15" t="s">
        <v>53</v>
      </c>
      <c r="K15" t="s">
        <v>53</v>
      </c>
      <c r="M15" t="s">
        <v>53</v>
      </c>
      <c r="N15" t="s">
        <v>53</v>
      </c>
      <c r="O15" t="s">
        <v>43</v>
      </c>
      <c r="P15" t="s">
        <v>53</v>
      </c>
      <c r="Q15" t="s">
        <v>53</v>
      </c>
      <c r="R15" t="s">
        <v>53</v>
      </c>
      <c r="T15" t="s">
        <v>53</v>
      </c>
      <c r="U15" t="s">
        <v>53</v>
      </c>
      <c r="V15" t="s">
        <v>43</v>
      </c>
      <c r="W15" t="s">
        <v>53</v>
      </c>
      <c r="Y15" t="s">
        <v>53</v>
      </c>
      <c r="AA15" t="s">
        <v>43</v>
      </c>
      <c r="AB15" cm="1">
        <f t="array" ref="AB15">SUM(IF("X" = F15:AA15, 1, 0))</f>
        <v>14</v>
      </c>
      <c r="AC15" cm="1">
        <f t="array" ref="AC15">SUM(IF("?" = F15:AA15, 1, 0)) + AB15</f>
        <v>17</v>
      </c>
      <c r="AF15" t="b">
        <f t="shared" si="0"/>
        <v>1</v>
      </c>
      <c r="AG15" t="b">
        <f t="shared" si="0"/>
        <v>1</v>
      </c>
    </row>
    <row r="16" spans="1:33" x14ac:dyDescent="0.2">
      <c r="A16" t="s">
        <v>16</v>
      </c>
      <c r="B16">
        <v>12</v>
      </c>
      <c r="C16">
        <v>14</v>
      </c>
      <c r="F16" t="s">
        <v>53</v>
      </c>
      <c r="G16" t="s">
        <v>53</v>
      </c>
      <c r="J16" t="s">
        <v>53</v>
      </c>
      <c r="M16" t="s">
        <v>53</v>
      </c>
      <c r="N16" t="s">
        <v>53</v>
      </c>
      <c r="O16" t="s">
        <v>43</v>
      </c>
      <c r="P16" t="s">
        <v>53</v>
      </c>
      <c r="Q16" t="s">
        <v>53</v>
      </c>
      <c r="R16" t="s">
        <v>53</v>
      </c>
      <c r="S16" t="s">
        <v>43</v>
      </c>
      <c r="T16" t="s">
        <v>53</v>
      </c>
      <c r="U16" t="s">
        <v>53</v>
      </c>
      <c r="W16" t="s">
        <v>53</v>
      </c>
      <c r="AA16" t="s">
        <v>53</v>
      </c>
      <c r="AB16" cm="1">
        <f t="array" ref="AB16">SUM(IF("X" = F16:AA16, 1, 0))</f>
        <v>12</v>
      </c>
      <c r="AC16" cm="1">
        <f t="array" ref="AC16">SUM(IF("?" = F16:AA16, 1, 0)) + AB16</f>
        <v>14</v>
      </c>
      <c r="AF16" t="b">
        <f t="shared" si="0"/>
        <v>1</v>
      </c>
      <c r="AG16" t="b">
        <f t="shared" si="0"/>
        <v>1</v>
      </c>
    </row>
    <row r="17" spans="1:33" x14ac:dyDescent="0.2">
      <c r="A17" t="s">
        <v>17</v>
      </c>
      <c r="B17">
        <v>12</v>
      </c>
      <c r="C17">
        <v>12</v>
      </c>
      <c r="G17" t="s">
        <v>53</v>
      </c>
      <c r="K17" t="s">
        <v>53</v>
      </c>
      <c r="M17" t="s">
        <v>53</v>
      </c>
      <c r="N17" t="s">
        <v>53</v>
      </c>
      <c r="P17" t="s">
        <v>53</v>
      </c>
      <c r="Q17" t="s">
        <v>53</v>
      </c>
      <c r="R17" t="s">
        <v>53</v>
      </c>
      <c r="S17" t="s">
        <v>53</v>
      </c>
      <c r="T17" t="s">
        <v>53</v>
      </c>
      <c r="U17" t="s">
        <v>53</v>
      </c>
      <c r="W17" t="s">
        <v>53</v>
      </c>
      <c r="Y17" t="s">
        <v>53</v>
      </c>
      <c r="AB17" cm="1">
        <f t="array" ref="AB17">SUM(IF("X" = F17:AA17, 1, 0))</f>
        <v>12</v>
      </c>
      <c r="AC17" cm="1">
        <f t="array" ref="AC17">SUM(IF("?" = F17:AA17, 1, 0)) + AB17</f>
        <v>12</v>
      </c>
      <c r="AF17" t="b">
        <f t="shared" si="0"/>
        <v>1</v>
      </c>
      <c r="AG17" t="b">
        <f t="shared" si="0"/>
        <v>1</v>
      </c>
    </row>
    <row r="18" spans="1:33" x14ac:dyDescent="0.2">
      <c r="A18" t="s">
        <v>18</v>
      </c>
      <c r="B18">
        <v>14</v>
      </c>
      <c r="C18">
        <v>15</v>
      </c>
      <c r="F18" t="s">
        <v>53</v>
      </c>
      <c r="G18" t="s">
        <v>53</v>
      </c>
      <c r="K18" t="s">
        <v>53</v>
      </c>
      <c r="L18" t="s">
        <v>53</v>
      </c>
      <c r="N18" t="s">
        <v>53</v>
      </c>
      <c r="O18" t="s">
        <v>53</v>
      </c>
      <c r="P18" t="s">
        <v>53</v>
      </c>
      <c r="Q18" t="s">
        <v>53</v>
      </c>
      <c r="R18" t="s">
        <v>53</v>
      </c>
      <c r="S18" t="s">
        <v>43</v>
      </c>
      <c r="T18" t="s">
        <v>53</v>
      </c>
      <c r="U18" t="s">
        <v>53</v>
      </c>
      <c r="W18" t="s">
        <v>53</v>
      </c>
      <c r="Z18" t="s">
        <v>53</v>
      </c>
      <c r="AA18" t="s">
        <v>53</v>
      </c>
      <c r="AB18" cm="1">
        <f t="array" ref="AB18">SUM(IF("X" = F18:AA18, 1, 0))</f>
        <v>14</v>
      </c>
      <c r="AC18" cm="1">
        <f t="array" ref="AC18">SUM(IF("?" = F18:AA18, 1, 0)) + AB18</f>
        <v>15</v>
      </c>
      <c r="AF18" t="b">
        <f t="shared" si="0"/>
        <v>1</v>
      </c>
      <c r="AG18" t="b">
        <f t="shared" si="0"/>
        <v>1</v>
      </c>
    </row>
    <row r="19" spans="1:33" x14ac:dyDescent="0.2">
      <c r="A19" s="9" t="s">
        <v>19</v>
      </c>
      <c r="B19">
        <v>13</v>
      </c>
      <c r="C19">
        <v>17</v>
      </c>
      <c r="F19" t="s">
        <v>53</v>
      </c>
      <c r="G19" t="s">
        <v>53</v>
      </c>
      <c r="H19" t="s">
        <v>53</v>
      </c>
      <c r="J19" t="s">
        <v>53</v>
      </c>
      <c r="K19" t="s">
        <v>53</v>
      </c>
      <c r="L19" t="s">
        <v>53</v>
      </c>
      <c r="M19" t="s">
        <v>53</v>
      </c>
      <c r="N19" t="s">
        <v>53</v>
      </c>
      <c r="O19" t="s">
        <v>43</v>
      </c>
      <c r="P19" t="s">
        <v>53</v>
      </c>
      <c r="Q19" t="s">
        <v>53</v>
      </c>
      <c r="R19" t="s">
        <v>53</v>
      </c>
      <c r="S19" t="s">
        <v>43</v>
      </c>
      <c r="U19" t="s">
        <v>53</v>
      </c>
      <c r="V19" t="s">
        <v>43</v>
      </c>
      <c r="Y19" t="s">
        <v>53</v>
      </c>
      <c r="AA19" t="s">
        <v>43</v>
      </c>
      <c r="AB19" cm="1">
        <f t="array" ref="AB19">SUM(IF("X" = F19:AA19, 1, 0))</f>
        <v>13</v>
      </c>
      <c r="AC19" cm="1">
        <f t="array" ref="AC19">SUM(IF("?" = F19:AA19, 1, 0)) + AB19</f>
        <v>17</v>
      </c>
      <c r="AF19" t="b">
        <f t="shared" si="0"/>
        <v>1</v>
      </c>
      <c r="AG19" t="b">
        <f t="shared" si="0"/>
        <v>1</v>
      </c>
    </row>
    <row r="20" spans="1:33" x14ac:dyDescent="0.2">
      <c r="A20" s="9" t="s">
        <v>20</v>
      </c>
      <c r="B20">
        <v>15</v>
      </c>
      <c r="C20">
        <v>18</v>
      </c>
      <c r="F20" t="s">
        <v>53</v>
      </c>
      <c r="G20" t="s">
        <v>53</v>
      </c>
      <c r="H20" t="s">
        <v>53</v>
      </c>
      <c r="I20" t="s">
        <v>53</v>
      </c>
      <c r="J20" t="s">
        <v>53</v>
      </c>
      <c r="K20" t="s">
        <v>53</v>
      </c>
      <c r="L20" t="s">
        <v>53</v>
      </c>
      <c r="N20" t="s">
        <v>53</v>
      </c>
      <c r="O20" t="s">
        <v>43</v>
      </c>
      <c r="P20" t="s">
        <v>53</v>
      </c>
      <c r="Q20" t="s">
        <v>53</v>
      </c>
      <c r="R20" t="s">
        <v>53</v>
      </c>
      <c r="S20" t="s">
        <v>43</v>
      </c>
      <c r="T20" t="s">
        <v>53</v>
      </c>
      <c r="U20" t="s">
        <v>53</v>
      </c>
      <c r="V20" t="s">
        <v>53</v>
      </c>
      <c r="X20" t="s">
        <v>53</v>
      </c>
      <c r="AA20" t="s">
        <v>43</v>
      </c>
      <c r="AB20" cm="1">
        <f t="array" ref="AB20">SUM(IF("X" = F20:AA20, 1, 0))</f>
        <v>15</v>
      </c>
      <c r="AC20" cm="1">
        <f t="array" ref="AC20">SUM(IF("?" = F20:AA20, 1, 0)) + AB20</f>
        <v>18</v>
      </c>
      <c r="AF20" t="b">
        <f t="shared" si="0"/>
        <v>1</v>
      </c>
      <c r="AG20" t="b">
        <f t="shared" si="0"/>
        <v>1</v>
      </c>
    </row>
    <row r="21" spans="1:33" x14ac:dyDescent="0.2">
      <c r="A21" t="s">
        <v>21</v>
      </c>
      <c r="B21">
        <v>15</v>
      </c>
      <c r="C21">
        <v>16</v>
      </c>
      <c r="F21" t="s">
        <v>53</v>
      </c>
      <c r="G21" t="s">
        <v>53</v>
      </c>
      <c r="H21" t="s">
        <v>53</v>
      </c>
      <c r="I21" t="s">
        <v>53</v>
      </c>
      <c r="J21" t="s">
        <v>53</v>
      </c>
      <c r="K21" t="s">
        <v>53</v>
      </c>
      <c r="M21" t="s">
        <v>53</v>
      </c>
      <c r="Q21" t="s">
        <v>53</v>
      </c>
      <c r="R21" t="s">
        <v>53</v>
      </c>
      <c r="S21" t="s">
        <v>43</v>
      </c>
      <c r="T21" t="s">
        <v>53</v>
      </c>
      <c r="U21" t="s">
        <v>53</v>
      </c>
      <c r="V21" t="s">
        <v>53</v>
      </c>
      <c r="W21" t="s">
        <v>53</v>
      </c>
      <c r="Y21" t="s">
        <v>53</v>
      </c>
      <c r="AA21" t="s">
        <v>53</v>
      </c>
      <c r="AB21" cm="1">
        <f t="array" ref="AB21">SUM(IF("X" = F21:AA21, 1, 0))</f>
        <v>15</v>
      </c>
      <c r="AC21" cm="1">
        <f t="array" ref="AC21">SUM(IF("?" = F21:AA21, 1, 0)) + AB21</f>
        <v>16</v>
      </c>
      <c r="AF21" t="b">
        <f t="shared" si="0"/>
        <v>1</v>
      </c>
      <c r="AG21" t="b">
        <f t="shared" si="0"/>
        <v>1</v>
      </c>
    </row>
    <row r="22" spans="1:33" x14ac:dyDescent="0.2">
      <c r="A22" t="s">
        <v>22</v>
      </c>
      <c r="B22">
        <v>14</v>
      </c>
      <c r="C22">
        <v>16</v>
      </c>
      <c r="F22" t="s">
        <v>53</v>
      </c>
      <c r="G22" t="s">
        <v>53</v>
      </c>
      <c r="K22" t="s">
        <v>53</v>
      </c>
      <c r="L22" t="s">
        <v>53</v>
      </c>
      <c r="N22" t="s">
        <v>53</v>
      </c>
      <c r="O22" t="s">
        <v>43</v>
      </c>
      <c r="P22" t="s">
        <v>53</v>
      </c>
      <c r="Q22" t="s">
        <v>53</v>
      </c>
      <c r="R22" t="s">
        <v>53</v>
      </c>
      <c r="T22" t="s">
        <v>53</v>
      </c>
      <c r="U22" t="s">
        <v>53</v>
      </c>
      <c r="V22" t="s">
        <v>53</v>
      </c>
      <c r="W22" t="s">
        <v>53</v>
      </c>
      <c r="Y22" t="s">
        <v>53</v>
      </c>
      <c r="Z22" t="s">
        <v>53</v>
      </c>
      <c r="AA22" t="s">
        <v>43</v>
      </c>
      <c r="AB22" cm="1">
        <f t="array" ref="AB22">SUM(IF("X" = F22:AA22, 1, 0))</f>
        <v>14</v>
      </c>
      <c r="AC22" cm="1">
        <f t="array" ref="AC22">SUM(IF("?" = F22:AA22, 1, 0)) + AB22</f>
        <v>16</v>
      </c>
      <c r="AF22" t="b">
        <f t="shared" si="0"/>
        <v>1</v>
      </c>
      <c r="AG22" t="b">
        <f t="shared" si="0"/>
        <v>1</v>
      </c>
    </row>
    <row r="23" spans="1:33" x14ac:dyDescent="0.2">
      <c r="A23" t="s">
        <v>23</v>
      </c>
      <c r="B23">
        <v>12</v>
      </c>
      <c r="C23">
        <v>14</v>
      </c>
      <c r="F23" t="s">
        <v>53</v>
      </c>
      <c r="G23" t="s">
        <v>53</v>
      </c>
      <c r="I23" t="s">
        <v>53</v>
      </c>
      <c r="J23" t="s">
        <v>43</v>
      </c>
      <c r="N23" t="s">
        <v>53</v>
      </c>
      <c r="P23" t="s">
        <v>53</v>
      </c>
      <c r="Q23" t="s">
        <v>53</v>
      </c>
      <c r="R23" t="s">
        <v>53</v>
      </c>
      <c r="T23" t="s">
        <v>53</v>
      </c>
      <c r="U23" t="s">
        <v>53</v>
      </c>
      <c r="V23" t="s">
        <v>53</v>
      </c>
      <c r="W23" t="s">
        <v>53</v>
      </c>
      <c r="Y23" t="s">
        <v>53</v>
      </c>
      <c r="AA23" t="s">
        <v>43</v>
      </c>
      <c r="AB23" cm="1">
        <f t="array" ref="AB23">SUM(IF("X" = F23:AA23, 1, 0))</f>
        <v>12</v>
      </c>
      <c r="AC23" cm="1">
        <f t="array" ref="AC23">SUM(IF("?" = F23:AA23, 1, 0)) + AB23</f>
        <v>14</v>
      </c>
      <c r="AF23" t="b">
        <f t="shared" si="0"/>
        <v>1</v>
      </c>
      <c r="AG23" t="b">
        <f t="shared" si="0"/>
        <v>1</v>
      </c>
    </row>
    <row r="24" spans="1:33" x14ac:dyDescent="0.2">
      <c r="A24" s="9" t="s">
        <v>24</v>
      </c>
      <c r="B24">
        <v>16</v>
      </c>
      <c r="C24">
        <v>18</v>
      </c>
      <c r="F24" t="s">
        <v>53</v>
      </c>
      <c r="G24" t="s">
        <v>53</v>
      </c>
      <c r="H24" t="s">
        <v>53</v>
      </c>
      <c r="I24" t="s">
        <v>53</v>
      </c>
      <c r="J24" t="s">
        <v>53</v>
      </c>
      <c r="K24" t="s">
        <v>53</v>
      </c>
      <c r="M24" t="s">
        <v>53</v>
      </c>
      <c r="N24" t="s">
        <v>53</v>
      </c>
      <c r="O24" t="s">
        <v>53</v>
      </c>
      <c r="P24" t="s">
        <v>53</v>
      </c>
      <c r="R24" t="s">
        <v>53</v>
      </c>
      <c r="S24" t="s">
        <v>43</v>
      </c>
      <c r="T24" t="s">
        <v>53</v>
      </c>
      <c r="U24" t="s">
        <v>53</v>
      </c>
      <c r="V24" t="s">
        <v>53</v>
      </c>
      <c r="W24" t="s">
        <v>53</v>
      </c>
      <c r="Y24" t="s">
        <v>53</v>
      </c>
      <c r="AA24" t="s">
        <v>43</v>
      </c>
      <c r="AB24" cm="1">
        <f t="array" ref="AB24">SUM(IF("X" = F24:AA24, 1, 0))</f>
        <v>16</v>
      </c>
      <c r="AC24" cm="1">
        <f t="array" ref="AC24">SUM(IF("?" = F24:AA24, 1, 0)) + AB24</f>
        <v>18</v>
      </c>
      <c r="AF24" t="b">
        <f t="shared" si="0"/>
        <v>1</v>
      </c>
      <c r="AG24" t="b">
        <f t="shared" si="0"/>
        <v>1</v>
      </c>
    </row>
    <row r="25" spans="1:33" x14ac:dyDescent="0.2">
      <c r="A25" t="s">
        <v>25</v>
      </c>
      <c r="B25">
        <v>15</v>
      </c>
      <c r="C25">
        <v>16</v>
      </c>
      <c r="F25" t="s">
        <v>53</v>
      </c>
      <c r="G25" t="s">
        <v>53</v>
      </c>
      <c r="H25" t="s">
        <v>53</v>
      </c>
      <c r="J25" t="s">
        <v>53</v>
      </c>
      <c r="K25" t="s">
        <v>53</v>
      </c>
      <c r="M25" t="s">
        <v>53</v>
      </c>
      <c r="N25" t="s">
        <v>53</v>
      </c>
      <c r="O25" t="s">
        <v>53</v>
      </c>
      <c r="P25" t="s">
        <v>53</v>
      </c>
      <c r="Q25" t="s">
        <v>53</v>
      </c>
      <c r="R25" t="s">
        <v>53</v>
      </c>
      <c r="S25" t="s">
        <v>43</v>
      </c>
      <c r="T25" t="s">
        <v>53</v>
      </c>
      <c r="U25" t="s">
        <v>53</v>
      </c>
      <c r="V25" t="s">
        <v>53</v>
      </c>
      <c r="AA25" t="s">
        <v>53</v>
      </c>
      <c r="AB25" cm="1">
        <f t="array" ref="AB25">SUM(IF("X" = F25:AA25, 1, 0))</f>
        <v>15</v>
      </c>
      <c r="AC25" cm="1">
        <f t="array" ref="AC25">SUM(IF("?" = F25:AA25, 1, 0)) + AB25</f>
        <v>16</v>
      </c>
      <c r="AF25" t="b">
        <f t="shared" si="0"/>
        <v>1</v>
      </c>
      <c r="AG25" t="b">
        <f t="shared" si="0"/>
        <v>1</v>
      </c>
    </row>
    <row r="26" spans="1:33" x14ac:dyDescent="0.2">
      <c r="A26" t="s">
        <v>26</v>
      </c>
      <c r="B26">
        <v>15</v>
      </c>
      <c r="C26">
        <v>16</v>
      </c>
      <c r="F26" t="s">
        <v>53</v>
      </c>
      <c r="G26" t="s">
        <v>53</v>
      </c>
      <c r="K26" t="s">
        <v>53</v>
      </c>
      <c r="L26" t="s">
        <v>53</v>
      </c>
      <c r="M26" t="s">
        <v>53</v>
      </c>
      <c r="N26" t="s">
        <v>53</v>
      </c>
      <c r="O26" t="s">
        <v>53</v>
      </c>
      <c r="P26" t="s">
        <v>53</v>
      </c>
      <c r="Q26" t="s">
        <v>53</v>
      </c>
      <c r="R26" t="s">
        <v>53</v>
      </c>
      <c r="T26" t="s">
        <v>53</v>
      </c>
      <c r="U26" t="s">
        <v>53</v>
      </c>
      <c r="V26" t="s">
        <v>53</v>
      </c>
      <c r="W26" t="s">
        <v>53</v>
      </c>
      <c r="Z26" t="s">
        <v>53</v>
      </c>
      <c r="AA26" t="s">
        <v>43</v>
      </c>
      <c r="AB26" cm="1">
        <f t="array" ref="AB26">SUM(IF("X" = F26:AA26, 1, 0))</f>
        <v>15</v>
      </c>
      <c r="AC26" cm="1">
        <f t="array" ref="AC26">SUM(IF("?" = F26:AA26, 1, 0)) + AB26</f>
        <v>16</v>
      </c>
      <c r="AF26" t="b">
        <f t="shared" si="0"/>
        <v>1</v>
      </c>
      <c r="AG26" t="b">
        <f t="shared" si="0"/>
        <v>1</v>
      </c>
    </row>
    <row r="27" spans="1:33" x14ac:dyDescent="0.2">
      <c r="A27" t="s">
        <v>27</v>
      </c>
      <c r="B27">
        <v>12</v>
      </c>
      <c r="C27">
        <v>14</v>
      </c>
      <c r="F27" t="s">
        <v>53</v>
      </c>
      <c r="G27" t="s">
        <v>53</v>
      </c>
      <c r="H27" t="s">
        <v>53</v>
      </c>
      <c r="I27" t="s">
        <v>53</v>
      </c>
      <c r="J27" t="s">
        <v>53</v>
      </c>
      <c r="N27" t="s">
        <v>53</v>
      </c>
      <c r="O27" t="s">
        <v>53</v>
      </c>
      <c r="R27" t="s">
        <v>53</v>
      </c>
      <c r="S27" t="s">
        <v>43</v>
      </c>
      <c r="T27" t="s">
        <v>53</v>
      </c>
      <c r="U27" t="s">
        <v>43</v>
      </c>
      <c r="V27" t="s">
        <v>53</v>
      </c>
      <c r="W27" t="s">
        <v>53</v>
      </c>
      <c r="AA27" t="s">
        <v>53</v>
      </c>
      <c r="AB27" cm="1">
        <f t="array" ref="AB27">SUM(IF("X" = F27:AA27, 1, 0))</f>
        <v>12</v>
      </c>
      <c r="AC27" cm="1">
        <f t="array" ref="AC27">SUM(IF("?" = F27:AA27, 1, 0)) + AB27</f>
        <v>14</v>
      </c>
      <c r="AF27" t="b">
        <f t="shared" si="0"/>
        <v>1</v>
      </c>
      <c r="AG27" t="b">
        <f t="shared" si="0"/>
        <v>1</v>
      </c>
    </row>
    <row r="28" spans="1:33" x14ac:dyDescent="0.2">
      <c r="A28" t="s">
        <v>28</v>
      </c>
      <c r="B28">
        <v>12</v>
      </c>
      <c r="C28">
        <v>13</v>
      </c>
      <c r="F28" t="s">
        <v>53</v>
      </c>
      <c r="G28" t="s">
        <v>53</v>
      </c>
      <c r="H28" t="s">
        <v>53</v>
      </c>
      <c r="N28" t="s">
        <v>53</v>
      </c>
      <c r="O28" t="s">
        <v>53</v>
      </c>
      <c r="P28" t="s">
        <v>53</v>
      </c>
      <c r="R28" t="s">
        <v>53</v>
      </c>
      <c r="S28" t="s">
        <v>43</v>
      </c>
      <c r="T28" t="s">
        <v>53</v>
      </c>
      <c r="U28" t="s">
        <v>53</v>
      </c>
      <c r="V28" t="s">
        <v>53</v>
      </c>
      <c r="Y28" t="s">
        <v>53</v>
      </c>
      <c r="Z28" t="s">
        <v>53</v>
      </c>
      <c r="AB28" cm="1">
        <f t="array" ref="AB28">SUM(IF("X" = F28:AA28, 1, 0))</f>
        <v>12</v>
      </c>
      <c r="AC28" cm="1">
        <f t="array" ref="AC28">SUM(IF("?" = F28:AA28, 1, 0)) + AB28</f>
        <v>13</v>
      </c>
      <c r="AF28" t="b">
        <f t="shared" si="0"/>
        <v>1</v>
      </c>
      <c r="AG28" t="b">
        <f t="shared" si="0"/>
        <v>1</v>
      </c>
    </row>
    <row r="29" spans="1:33" x14ac:dyDescent="0.2">
      <c r="A29" s="8" t="s">
        <v>29</v>
      </c>
      <c r="B29">
        <v>19</v>
      </c>
      <c r="C29">
        <v>21</v>
      </c>
      <c r="F29" t="s">
        <v>53</v>
      </c>
      <c r="G29" t="s">
        <v>53</v>
      </c>
      <c r="H29" t="s">
        <v>53</v>
      </c>
      <c r="I29" t="s">
        <v>53</v>
      </c>
      <c r="J29" t="s">
        <v>53</v>
      </c>
      <c r="K29" t="s">
        <v>53</v>
      </c>
      <c r="L29" t="s">
        <v>53</v>
      </c>
      <c r="M29" t="s">
        <v>53</v>
      </c>
      <c r="N29" t="s">
        <v>53</v>
      </c>
      <c r="O29" t="s">
        <v>53</v>
      </c>
      <c r="P29" t="s">
        <v>53</v>
      </c>
      <c r="Q29" t="s">
        <v>53</v>
      </c>
      <c r="R29" t="s">
        <v>53</v>
      </c>
      <c r="S29" t="s">
        <v>43</v>
      </c>
      <c r="T29" t="s">
        <v>53</v>
      </c>
      <c r="U29" t="s">
        <v>53</v>
      </c>
      <c r="V29" t="s">
        <v>53</v>
      </c>
      <c r="W29" t="s">
        <v>53</v>
      </c>
      <c r="Y29" t="s">
        <v>53</v>
      </c>
      <c r="Z29" t="s">
        <v>53</v>
      </c>
      <c r="AA29" t="s">
        <v>43</v>
      </c>
      <c r="AB29" cm="1">
        <f t="array" ref="AB29">SUM(IF("X" = F29:AA29, 1, 0))</f>
        <v>19</v>
      </c>
      <c r="AC29" cm="1">
        <f t="array" ref="AC29">SUM(IF("?" = F29:AA29, 1, 0)) + AB29</f>
        <v>21</v>
      </c>
      <c r="AF29" t="b">
        <f t="shared" si="0"/>
        <v>1</v>
      </c>
      <c r="AG29" t="b">
        <f t="shared" si="0"/>
        <v>1</v>
      </c>
    </row>
    <row r="30" spans="1:33" x14ac:dyDescent="0.2">
      <c r="A30" t="s">
        <v>30</v>
      </c>
      <c r="B30">
        <v>13</v>
      </c>
      <c r="C30">
        <v>15</v>
      </c>
      <c r="F30" t="s">
        <v>53</v>
      </c>
      <c r="G30" t="s">
        <v>53</v>
      </c>
      <c r="J30" t="s">
        <v>53</v>
      </c>
      <c r="N30" t="s">
        <v>53</v>
      </c>
      <c r="O30" t="s">
        <v>43</v>
      </c>
      <c r="P30" t="s">
        <v>53</v>
      </c>
      <c r="Q30" t="s">
        <v>53</v>
      </c>
      <c r="R30" t="s">
        <v>53</v>
      </c>
      <c r="S30" t="s">
        <v>43</v>
      </c>
      <c r="T30" t="s">
        <v>53</v>
      </c>
      <c r="U30" t="s">
        <v>53</v>
      </c>
      <c r="W30" t="s">
        <v>53</v>
      </c>
      <c r="Y30" t="s">
        <v>53</v>
      </c>
      <c r="Z30" t="s">
        <v>53</v>
      </c>
      <c r="AA30" t="s">
        <v>53</v>
      </c>
      <c r="AB30" cm="1">
        <f t="array" ref="AB30">SUM(IF("X" = F30:AA30, 1, 0))</f>
        <v>13</v>
      </c>
      <c r="AC30" cm="1">
        <f t="array" ref="AC30">SUM(IF("?" = F30:AA30, 1, 0)) + AB30</f>
        <v>15</v>
      </c>
      <c r="AF30" t="b">
        <f t="shared" si="0"/>
        <v>1</v>
      </c>
      <c r="AG30" t="b">
        <f t="shared" si="0"/>
        <v>1</v>
      </c>
    </row>
    <row r="31" spans="1:33" x14ac:dyDescent="0.2">
      <c r="A31" t="s">
        <v>31</v>
      </c>
      <c r="B31">
        <v>12</v>
      </c>
      <c r="C31">
        <v>14</v>
      </c>
      <c r="F31" t="s">
        <v>53</v>
      </c>
      <c r="G31" t="s">
        <v>53</v>
      </c>
      <c r="J31" t="s">
        <v>53</v>
      </c>
      <c r="N31" t="s">
        <v>53</v>
      </c>
      <c r="O31" t="s">
        <v>43</v>
      </c>
      <c r="P31" t="s">
        <v>53</v>
      </c>
      <c r="Q31" t="s">
        <v>53</v>
      </c>
      <c r="R31" t="s">
        <v>53</v>
      </c>
      <c r="S31" t="s">
        <v>43</v>
      </c>
      <c r="T31" t="s">
        <v>53</v>
      </c>
      <c r="U31" t="s">
        <v>53</v>
      </c>
      <c r="W31" t="s">
        <v>53</v>
      </c>
      <c r="Z31" t="s">
        <v>53</v>
      </c>
      <c r="AA31" t="s">
        <v>53</v>
      </c>
      <c r="AB31" cm="1">
        <f t="array" ref="AB31">SUM(IF("X" = F31:AA31, 1, 0))</f>
        <v>12</v>
      </c>
      <c r="AC31" cm="1">
        <f t="array" ref="AC31">SUM(IF("?" = F31:AA31, 1, 0)) + AB31</f>
        <v>14</v>
      </c>
      <c r="AF31" t="b">
        <f t="shared" si="0"/>
        <v>1</v>
      </c>
      <c r="AG31" t="b">
        <f t="shared" si="0"/>
        <v>1</v>
      </c>
    </row>
    <row r="32" spans="1:33" x14ac:dyDescent="0.2">
      <c r="A32" t="s">
        <v>32</v>
      </c>
      <c r="B32">
        <v>12</v>
      </c>
      <c r="C32">
        <v>14</v>
      </c>
      <c r="F32" t="s">
        <v>53</v>
      </c>
      <c r="G32" t="s">
        <v>53</v>
      </c>
      <c r="I32" t="s">
        <v>53</v>
      </c>
      <c r="M32" t="s">
        <v>53</v>
      </c>
      <c r="N32" t="s">
        <v>53</v>
      </c>
      <c r="O32" t="s">
        <v>43</v>
      </c>
      <c r="P32" t="s">
        <v>53</v>
      </c>
      <c r="R32" t="s">
        <v>53</v>
      </c>
      <c r="S32" t="s">
        <v>43</v>
      </c>
      <c r="T32" t="s">
        <v>53</v>
      </c>
      <c r="U32" t="s">
        <v>53</v>
      </c>
      <c r="W32" t="s">
        <v>53</v>
      </c>
      <c r="Z32" t="s">
        <v>53</v>
      </c>
      <c r="AA32" t="s">
        <v>53</v>
      </c>
      <c r="AB32" cm="1">
        <f t="array" ref="AB32">SUM(IF("X" = F32:AA32, 1, 0))</f>
        <v>12</v>
      </c>
      <c r="AC32" cm="1">
        <f t="array" ref="AC32">SUM(IF("?" = F32:AA32, 1, 0)) + AB32</f>
        <v>14</v>
      </c>
      <c r="AF32" t="b">
        <f t="shared" si="0"/>
        <v>1</v>
      </c>
      <c r="AG32" t="b">
        <f t="shared" si="0"/>
        <v>1</v>
      </c>
    </row>
    <row r="33" spans="1:33" x14ac:dyDescent="0.2">
      <c r="A33" t="s">
        <v>33</v>
      </c>
      <c r="B33">
        <v>15</v>
      </c>
      <c r="C33">
        <v>16</v>
      </c>
      <c r="F33" t="s">
        <v>53</v>
      </c>
      <c r="G33" t="s">
        <v>53</v>
      </c>
      <c r="I33" t="s">
        <v>53</v>
      </c>
      <c r="L33" t="s">
        <v>53</v>
      </c>
      <c r="M33" t="s">
        <v>53</v>
      </c>
      <c r="O33" t="s">
        <v>43</v>
      </c>
      <c r="P33" t="s">
        <v>53</v>
      </c>
      <c r="Q33" t="s">
        <v>53</v>
      </c>
      <c r="R33" t="s">
        <v>53</v>
      </c>
      <c r="T33" t="s">
        <v>53</v>
      </c>
      <c r="U33" t="s">
        <v>53</v>
      </c>
      <c r="V33" t="s">
        <v>53</v>
      </c>
      <c r="W33" t="s">
        <v>53</v>
      </c>
      <c r="X33" t="s">
        <v>53</v>
      </c>
      <c r="Y33" t="s">
        <v>53</v>
      </c>
      <c r="Z33" t="s">
        <v>53</v>
      </c>
      <c r="AB33" cm="1">
        <f t="array" ref="AB33">SUM(IF("X" = F33:AA33, 1, 0))</f>
        <v>15</v>
      </c>
      <c r="AC33" cm="1">
        <f t="array" ref="AC33">SUM(IF("?" = F33:AA33, 1, 0)) + AB33</f>
        <v>16</v>
      </c>
      <c r="AF33" t="b">
        <f t="shared" si="0"/>
        <v>1</v>
      </c>
      <c r="AG33" t="b">
        <f t="shared" si="0"/>
        <v>1</v>
      </c>
    </row>
    <row r="34" spans="1:33" x14ac:dyDescent="0.2">
      <c r="A34">
        <f>COUNTA(A2:A33)</f>
        <v>32</v>
      </c>
      <c r="B34">
        <f>AVERAGE(B2:B33)</f>
        <v>14.0625</v>
      </c>
      <c r="C34">
        <f>AVERAGE(C2:C33)</f>
        <v>15.71875</v>
      </c>
    </row>
    <row r="35" spans="1:33" x14ac:dyDescent="0.2">
      <c r="B35">
        <f>B34/22</f>
        <v>0.63920454545454541</v>
      </c>
      <c r="C35">
        <f>C34/22</f>
        <v>0.71448863636363635</v>
      </c>
    </row>
    <row r="36" spans="1:33" x14ac:dyDescent="0.2">
      <c r="A36" t="s">
        <v>34</v>
      </c>
      <c r="B36">
        <v>21</v>
      </c>
      <c r="C36">
        <v>21</v>
      </c>
      <c r="F36" t="s">
        <v>53</v>
      </c>
      <c r="G36" t="s">
        <v>53</v>
      </c>
      <c r="H36" t="s">
        <v>53</v>
      </c>
      <c r="I36" t="s">
        <v>53</v>
      </c>
      <c r="J36" t="s">
        <v>53</v>
      </c>
      <c r="K36" t="s">
        <v>53</v>
      </c>
      <c r="L36" t="s">
        <v>53</v>
      </c>
      <c r="M36" t="s">
        <v>53</v>
      </c>
      <c r="N36" t="s">
        <v>53</v>
      </c>
      <c r="O36" t="s">
        <v>53</v>
      </c>
      <c r="P36" t="s">
        <v>53</v>
      </c>
      <c r="Q36" t="s">
        <v>53</v>
      </c>
      <c r="R36" t="s">
        <v>53</v>
      </c>
      <c r="S36" t="s">
        <v>53</v>
      </c>
      <c r="U36" t="s">
        <v>53</v>
      </c>
      <c r="V36" t="s">
        <v>53</v>
      </c>
      <c r="W36" t="s">
        <v>53</v>
      </c>
      <c r="X36" t="s">
        <v>53</v>
      </c>
      <c r="Y36" t="s">
        <v>53</v>
      </c>
      <c r="Z36" t="s">
        <v>53</v>
      </c>
      <c r="AA36" t="s">
        <v>53</v>
      </c>
      <c r="AB36" cm="1">
        <f t="array" ref="AB36">SUM(IF("X" = F36:AA36, 1, 0))</f>
        <v>21</v>
      </c>
      <c r="AC36" cm="1">
        <f t="array" ref="AC36">SUM(IF("?" = F36:AA36, 1, 0)) + AB36</f>
        <v>21</v>
      </c>
      <c r="AF36" t="b">
        <f t="shared" ref="AF36:AG53" si="1">AB36=B36</f>
        <v>1</v>
      </c>
      <c r="AG36" t="b">
        <f t="shared" si="1"/>
        <v>1</v>
      </c>
    </row>
    <row r="37" spans="1:33" x14ac:dyDescent="0.2">
      <c r="A37" t="s">
        <v>35</v>
      </c>
      <c r="B37">
        <v>19</v>
      </c>
      <c r="C37">
        <v>20</v>
      </c>
      <c r="F37" t="s">
        <v>53</v>
      </c>
      <c r="G37" t="s">
        <v>53</v>
      </c>
      <c r="I37" t="s">
        <v>53</v>
      </c>
      <c r="J37" t="s">
        <v>53</v>
      </c>
      <c r="K37" t="s">
        <v>53</v>
      </c>
      <c r="M37" t="s">
        <v>53</v>
      </c>
      <c r="N37" t="s">
        <v>53</v>
      </c>
      <c r="O37" t="s">
        <v>53</v>
      </c>
      <c r="P37" t="s">
        <v>53</v>
      </c>
      <c r="Q37" t="s">
        <v>53</v>
      </c>
      <c r="R37" t="s">
        <v>53</v>
      </c>
      <c r="S37" t="s">
        <v>53</v>
      </c>
      <c r="T37" t="s">
        <v>53</v>
      </c>
      <c r="U37" t="s">
        <v>53</v>
      </c>
      <c r="V37" t="s">
        <v>53</v>
      </c>
      <c r="W37" t="s">
        <v>53</v>
      </c>
      <c r="X37" t="s">
        <v>53</v>
      </c>
      <c r="Y37" t="s">
        <v>53</v>
      </c>
      <c r="Z37" t="s">
        <v>53</v>
      </c>
      <c r="AA37" t="s">
        <v>53</v>
      </c>
      <c r="AB37" cm="1">
        <f t="array" ref="AB37">SUM(IF("X" = F37:AA37, 1, 0))</f>
        <v>20</v>
      </c>
      <c r="AC37" cm="1">
        <f t="array" ref="AC37">SUM(IF("?" = F37:AA37, 1, 0)) + AB37</f>
        <v>20</v>
      </c>
      <c r="AF37" t="b">
        <f t="shared" si="1"/>
        <v>0</v>
      </c>
      <c r="AG37" t="b">
        <f t="shared" si="1"/>
        <v>1</v>
      </c>
    </row>
    <row r="38" spans="1:33" x14ac:dyDescent="0.2">
      <c r="A38" t="s">
        <v>36</v>
      </c>
      <c r="B38">
        <v>18</v>
      </c>
      <c r="C38">
        <v>18</v>
      </c>
      <c r="F38" t="s">
        <v>53</v>
      </c>
      <c r="G38" t="s">
        <v>53</v>
      </c>
      <c r="H38" t="s">
        <v>53</v>
      </c>
      <c r="I38" t="s">
        <v>53</v>
      </c>
      <c r="J38" t="s">
        <v>53</v>
      </c>
      <c r="K38" t="s">
        <v>53</v>
      </c>
      <c r="L38" t="s">
        <v>53</v>
      </c>
      <c r="M38" t="s">
        <v>53</v>
      </c>
      <c r="O38" t="s">
        <v>53</v>
      </c>
      <c r="P38" t="s">
        <v>53</v>
      </c>
      <c r="Q38" t="s">
        <v>53</v>
      </c>
      <c r="T38" t="s">
        <v>53</v>
      </c>
      <c r="U38" t="s">
        <v>53</v>
      </c>
      <c r="V38" t="s">
        <v>53</v>
      </c>
      <c r="W38" t="s">
        <v>53</v>
      </c>
      <c r="Y38" t="s">
        <v>53</v>
      </c>
      <c r="Z38" t="s">
        <v>53</v>
      </c>
      <c r="AA38" t="s">
        <v>53</v>
      </c>
      <c r="AB38" cm="1">
        <f t="array" ref="AB38">SUM(IF("X" = F38:AA38, 1, 0))</f>
        <v>18</v>
      </c>
      <c r="AC38" cm="1">
        <f t="array" ref="AC38">SUM(IF("?" = F38:AA38, 1, 0)) + AB38</f>
        <v>18</v>
      </c>
      <c r="AF38" t="b">
        <f t="shared" si="1"/>
        <v>1</v>
      </c>
      <c r="AG38" t="b">
        <f t="shared" si="1"/>
        <v>1</v>
      </c>
    </row>
    <row r="39" spans="1:33" x14ac:dyDescent="0.2">
      <c r="A39" t="s">
        <v>37</v>
      </c>
      <c r="B39">
        <v>17</v>
      </c>
      <c r="C39">
        <v>17</v>
      </c>
      <c r="F39" t="s">
        <v>53</v>
      </c>
      <c r="G39" t="s">
        <v>53</v>
      </c>
      <c r="H39" t="s">
        <v>53</v>
      </c>
      <c r="I39" t="s">
        <v>53</v>
      </c>
      <c r="J39" t="s">
        <v>53</v>
      </c>
      <c r="K39" t="s">
        <v>53</v>
      </c>
      <c r="O39" t="s">
        <v>53</v>
      </c>
      <c r="P39" t="s">
        <v>53</v>
      </c>
      <c r="Q39" t="s">
        <v>53</v>
      </c>
      <c r="R39" t="s">
        <v>53</v>
      </c>
      <c r="S39" t="s">
        <v>53</v>
      </c>
      <c r="V39" t="s">
        <v>53</v>
      </c>
      <c r="W39" t="s">
        <v>53</v>
      </c>
      <c r="X39" t="s">
        <v>53</v>
      </c>
      <c r="Y39" t="s">
        <v>53</v>
      </c>
      <c r="Z39" t="s">
        <v>53</v>
      </c>
      <c r="AA39" t="s">
        <v>53</v>
      </c>
      <c r="AB39" cm="1">
        <f t="array" ref="AB39">SUM(IF("X" = F39:AA39, 1, 0))</f>
        <v>17</v>
      </c>
      <c r="AC39" cm="1">
        <f t="array" ref="AC39">SUM(IF("?" = F39:AA39, 1, 0)) + AB39</f>
        <v>17</v>
      </c>
      <c r="AF39" t="b">
        <f t="shared" si="1"/>
        <v>1</v>
      </c>
      <c r="AG39" t="b">
        <f t="shared" si="1"/>
        <v>1</v>
      </c>
    </row>
    <row r="40" spans="1:33" x14ac:dyDescent="0.2">
      <c r="A40" t="s">
        <v>38</v>
      </c>
      <c r="B40">
        <v>17</v>
      </c>
      <c r="C40">
        <v>18</v>
      </c>
      <c r="F40" t="s">
        <v>53</v>
      </c>
      <c r="G40" t="s">
        <v>53</v>
      </c>
      <c r="H40" t="s">
        <v>53</v>
      </c>
      <c r="I40" t="s">
        <v>53</v>
      </c>
      <c r="J40" t="s">
        <v>53</v>
      </c>
      <c r="K40" t="s">
        <v>53</v>
      </c>
      <c r="L40" t="s">
        <v>53</v>
      </c>
      <c r="M40" t="s">
        <v>53</v>
      </c>
      <c r="N40" t="s">
        <v>53</v>
      </c>
      <c r="O40" t="s">
        <v>53</v>
      </c>
      <c r="P40" t="s">
        <v>53</v>
      </c>
      <c r="Q40" t="s">
        <v>53</v>
      </c>
      <c r="R40" t="s">
        <v>53</v>
      </c>
      <c r="S40" t="s">
        <v>53</v>
      </c>
      <c r="W40" t="s">
        <v>53</v>
      </c>
      <c r="Y40" t="s">
        <v>53</v>
      </c>
      <c r="Z40" t="s">
        <v>53</v>
      </c>
      <c r="AA40" t="s">
        <v>53</v>
      </c>
      <c r="AB40" cm="1">
        <f t="array" ref="AB40">SUM(IF("X" = F40:AA40, 1, 0))</f>
        <v>18</v>
      </c>
      <c r="AC40" cm="1">
        <f t="array" ref="AC40">SUM(IF("?" = F40:AA40, 1, 0)) + AB40</f>
        <v>18</v>
      </c>
      <c r="AF40" t="b">
        <f t="shared" si="1"/>
        <v>0</v>
      </c>
      <c r="AG40" t="b">
        <f t="shared" si="1"/>
        <v>1</v>
      </c>
    </row>
    <row r="41" spans="1:33" x14ac:dyDescent="0.2">
      <c r="A41" t="s">
        <v>39</v>
      </c>
      <c r="B41">
        <v>15</v>
      </c>
      <c r="C41">
        <v>15</v>
      </c>
      <c r="F41" t="s">
        <v>53</v>
      </c>
      <c r="G41" t="s">
        <v>53</v>
      </c>
      <c r="K41" t="s">
        <v>53</v>
      </c>
      <c r="L41" t="s">
        <v>53</v>
      </c>
      <c r="M41" t="s">
        <v>53</v>
      </c>
      <c r="N41" t="s">
        <v>53</v>
      </c>
      <c r="O41" t="s">
        <v>53</v>
      </c>
      <c r="P41" t="s">
        <v>53</v>
      </c>
      <c r="Q41" t="s">
        <v>53</v>
      </c>
      <c r="R41" t="s">
        <v>53</v>
      </c>
      <c r="V41" t="s">
        <v>53</v>
      </c>
      <c r="W41" t="s">
        <v>53</v>
      </c>
      <c r="Y41" t="s">
        <v>53</v>
      </c>
      <c r="Z41" t="s">
        <v>53</v>
      </c>
      <c r="AA41" t="s">
        <v>53</v>
      </c>
      <c r="AB41" cm="1">
        <f t="array" ref="AB41">SUM(IF("X" = F41:AA41, 1, 0))</f>
        <v>15</v>
      </c>
      <c r="AC41" cm="1">
        <f t="array" ref="AC41">SUM(IF("?" = F41:AA41, 1, 0)) + AB41</f>
        <v>15</v>
      </c>
      <c r="AF41" t="b">
        <f t="shared" si="1"/>
        <v>1</v>
      </c>
      <c r="AG41" t="b">
        <f t="shared" si="1"/>
        <v>1</v>
      </c>
    </row>
    <row r="42" spans="1:33" x14ac:dyDescent="0.2">
      <c r="A42" t="s">
        <v>40</v>
      </c>
      <c r="B42">
        <v>14</v>
      </c>
      <c r="C42">
        <v>16</v>
      </c>
      <c r="F42" t="s">
        <v>53</v>
      </c>
      <c r="G42" t="s">
        <v>53</v>
      </c>
      <c r="J42" t="s">
        <v>53</v>
      </c>
      <c r="N42" t="s">
        <v>53</v>
      </c>
      <c r="O42" t="s">
        <v>53</v>
      </c>
      <c r="P42" t="s">
        <v>53</v>
      </c>
      <c r="Q42" t="s">
        <v>53</v>
      </c>
      <c r="R42" t="s">
        <v>53</v>
      </c>
      <c r="S42" t="s">
        <v>53</v>
      </c>
      <c r="U42" t="s">
        <v>53</v>
      </c>
      <c r="V42" t="s">
        <v>53</v>
      </c>
      <c r="W42" t="s">
        <v>53</v>
      </c>
      <c r="X42" t="s">
        <v>53</v>
      </c>
      <c r="Y42" t="s">
        <v>53</v>
      </c>
      <c r="Z42" t="s">
        <v>53</v>
      </c>
      <c r="AA42" t="s">
        <v>53</v>
      </c>
      <c r="AB42" cm="1">
        <f t="array" ref="AB42">SUM(IF("X" = F42:AA42, 1, 0))</f>
        <v>16</v>
      </c>
      <c r="AC42" cm="1">
        <f t="array" ref="AC42">SUM(IF("?" = F42:AA42, 1, 0)) + AB42</f>
        <v>16</v>
      </c>
      <c r="AF42" t="b">
        <f t="shared" si="1"/>
        <v>0</v>
      </c>
      <c r="AG42" t="b">
        <f t="shared" si="1"/>
        <v>1</v>
      </c>
    </row>
    <row r="43" spans="1:33" x14ac:dyDescent="0.2">
      <c r="A43" t="s">
        <v>41</v>
      </c>
      <c r="B43">
        <v>13</v>
      </c>
      <c r="C43">
        <v>13</v>
      </c>
      <c r="F43" t="s">
        <v>53</v>
      </c>
      <c r="G43" t="s">
        <v>53</v>
      </c>
      <c r="J43" t="s">
        <v>53</v>
      </c>
      <c r="K43" t="s">
        <v>53</v>
      </c>
      <c r="N43" t="s">
        <v>53</v>
      </c>
      <c r="O43" t="s">
        <v>53</v>
      </c>
      <c r="P43" t="s">
        <v>53</v>
      </c>
      <c r="Q43" t="s">
        <v>53</v>
      </c>
      <c r="R43" t="s">
        <v>53</v>
      </c>
      <c r="S43" t="s">
        <v>53</v>
      </c>
      <c r="T43" t="s">
        <v>53</v>
      </c>
      <c r="Y43" t="s">
        <v>53</v>
      </c>
      <c r="AA43" t="s">
        <v>53</v>
      </c>
      <c r="AB43" cm="1">
        <f t="array" ref="AB43">SUM(IF("X" = F43:AA43, 1, 0))</f>
        <v>13</v>
      </c>
      <c r="AC43" cm="1">
        <f t="array" ref="AC43">SUM(IF("?" = F43:AA43, 1, 0)) + AB43</f>
        <v>13</v>
      </c>
      <c r="AF43" t="b">
        <f t="shared" si="1"/>
        <v>1</v>
      </c>
      <c r="AG43" t="b">
        <f t="shared" si="1"/>
        <v>1</v>
      </c>
    </row>
    <row r="44" spans="1:33" x14ac:dyDescent="0.2">
      <c r="A44" t="s">
        <v>42</v>
      </c>
      <c r="B44">
        <v>12</v>
      </c>
      <c r="C44">
        <v>12</v>
      </c>
      <c r="D44" t="s">
        <v>43</v>
      </c>
      <c r="F44" t="s">
        <v>53</v>
      </c>
      <c r="J44" t="s">
        <v>53</v>
      </c>
      <c r="K44" t="s">
        <v>53</v>
      </c>
      <c r="L44" t="s">
        <v>53</v>
      </c>
      <c r="M44" t="s">
        <v>53</v>
      </c>
      <c r="P44" t="s">
        <v>53</v>
      </c>
      <c r="R44" t="s">
        <v>53</v>
      </c>
      <c r="U44" t="s">
        <v>53</v>
      </c>
      <c r="V44" t="s">
        <v>53</v>
      </c>
      <c r="W44" t="s">
        <v>53</v>
      </c>
      <c r="Z44" t="s">
        <v>53</v>
      </c>
      <c r="AA44" t="s">
        <v>53</v>
      </c>
      <c r="AB44" cm="1">
        <f t="array" ref="AB44">SUM(IF("X" = F44:AA44, 1, 0))</f>
        <v>12</v>
      </c>
      <c r="AC44" cm="1">
        <f t="array" ref="AC44">SUM(IF("?" = F44:AA44, 1, 0)) + AB44</f>
        <v>12</v>
      </c>
      <c r="AF44" t="b">
        <f t="shared" si="1"/>
        <v>1</v>
      </c>
      <c r="AG44" t="b">
        <f t="shared" si="1"/>
        <v>1</v>
      </c>
    </row>
    <row r="45" spans="1:33" x14ac:dyDescent="0.2">
      <c r="A45" t="s">
        <v>44</v>
      </c>
      <c r="B45">
        <v>19</v>
      </c>
      <c r="C45">
        <v>19</v>
      </c>
      <c r="F45" t="s">
        <v>53</v>
      </c>
      <c r="H45" t="s">
        <v>53</v>
      </c>
      <c r="I45" t="s">
        <v>53</v>
      </c>
      <c r="J45" t="s">
        <v>53</v>
      </c>
      <c r="K45" t="s">
        <v>53</v>
      </c>
      <c r="L45" t="s">
        <v>53</v>
      </c>
      <c r="M45" t="s">
        <v>53</v>
      </c>
      <c r="N45" t="s">
        <v>53</v>
      </c>
      <c r="O45" t="s">
        <v>53</v>
      </c>
      <c r="P45" t="s">
        <v>53</v>
      </c>
      <c r="R45" t="s">
        <v>53</v>
      </c>
      <c r="S45" t="s">
        <v>53</v>
      </c>
      <c r="T45" t="s">
        <v>53</v>
      </c>
      <c r="V45" t="s">
        <v>53</v>
      </c>
      <c r="W45" t="s">
        <v>53</v>
      </c>
      <c r="X45" t="s">
        <v>53</v>
      </c>
      <c r="Y45" t="s">
        <v>53</v>
      </c>
      <c r="Z45" t="s">
        <v>53</v>
      </c>
      <c r="AA45" t="s">
        <v>53</v>
      </c>
      <c r="AB45" cm="1">
        <f t="array" ref="AB45">SUM(IF("X" = F45:AA45, 1, 0))</f>
        <v>19</v>
      </c>
      <c r="AC45" cm="1">
        <f t="array" ref="AC45">SUM(IF("?" = F45:AA45, 1, 0)) + AB45</f>
        <v>19</v>
      </c>
      <c r="AF45" t="b">
        <f t="shared" si="1"/>
        <v>1</v>
      </c>
      <c r="AG45" t="b">
        <f t="shared" si="1"/>
        <v>1</v>
      </c>
    </row>
    <row r="46" spans="1:33" x14ac:dyDescent="0.2">
      <c r="A46" t="s">
        <v>46</v>
      </c>
      <c r="B46">
        <v>15</v>
      </c>
      <c r="C46">
        <v>15</v>
      </c>
      <c r="F46" t="s">
        <v>53</v>
      </c>
      <c r="H46" t="s">
        <v>53</v>
      </c>
      <c r="J46" t="s">
        <v>53</v>
      </c>
      <c r="K46" t="s">
        <v>53</v>
      </c>
      <c r="L46" t="s">
        <v>53</v>
      </c>
      <c r="M46" t="s">
        <v>53</v>
      </c>
      <c r="N46" t="s">
        <v>53</v>
      </c>
      <c r="O46" t="s">
        <v>53</v>
      </c>
      <c r="P46" t="s">
        <v>53</v>
      </c>
      <c r="Q46" t="s">
        <v>53</v>
      </c>
      <c r="R46" t="s">
        <v>53</v>
      </c>
      <c r="S46" t="s">
        <v>53</v>
      </c>
      <c r="T46" t="s">
        <v>53</v>
      </c>
      <c r="X46" t="s">
        <v>53</v>
      </c>
      <c r="AA46" t="s">
        <v>53</v>
      </c>
      <c r="AB46" cm="1">
        <f t="array" ref="AB46">SUM(IF("X" = F46:AA46, 1, 0))</f>
        <v>15</v>
      </c>
      <c r="AC46" cm="1">
        <f t="array" ref="AC46">SUM(IF("?" = F46:AA46, 1, 0)) + AB46</f>
        <v>15</v>
      </c>
      <c r="AF46" t="b">
        <f t="shared" si="1"/>
        <v>1</v>
      </c>
      <c r="AG46" t="b">
        <f t="shared" si="1"/>
        <v>1</v>
      </c>
    </row>
    <row r="47" spans="1:33" x14ac:dyDescent="0.2">
      <c r="A47" t="s">
        <v>47</v>
      </c>
      <c r="B47">
        <v>12</v>
      </c>
      <c r="C47">
        <v>12</v>
      </c>
      <c r="F47" t="s">
        <v>53</v>
      </c>
      <c r="G47" t="s">
        <v>53</v>
      </c>
      <c r="H47" t="s">
        <v>53</v>
      </c>
      <c r="I47" t="s">
        <v>53</v>
      </c>
      <c r="K47" t="s">
        <v>53</v>
      </c>
      <c r="L47" t="s">
        <v>53</v>
      </c>
      <c r="M47" t="s">
        <v>53</v>
      </c>
      <c r="P47" t="s">
        <v>53</v>
      </c>
      <c r="Q47" t="s">
        <v>53</v>
      </c>
      <c r="R47" t="s">
        <v>53</v>
      </c>
      <c r="S47" t="s">
        <v>53</v>
      </c>
      <c r="T47" t="s">
        <v>53</v>
      </c>
      <c r="AB47" cm="1">
        <f t="array" ref="AB47">SUM(IF("X" = F47:AA47, 1, 0))</f>
        <v>12</v>
      </c>
      <c r="AC47" cm="1">
        <f t="array" ref="AC47">SUM(IF("?" = F47:AA47, 1, 0)) + AB47</f>
        <v>12</v>
      </c>
      <c r="AF47" t="b">
        <f t="shared" si="1"/>
        <v>1</v>
      </c>
      <c r="AG47" t="b">
        <f t="shared" si="1"/>
        <v>1</v>
      </c>
    </row>
    <row r="48" spans="1:33" x14ac:dyDescent="0.2">
      <c r="A48" t="s">
        <v>48</v>
      </c>
      <c r="B48">
        <v>20</v>
      </c>
      <c r="C48">
        <v>20</v>
      </c>
      <c r="F48" t="s">
        <v>53</v>
      </c>
      <c r="G48" t="s">
        <v>53</v>
      </c>
      <c r="H48" t="s">
        <v>53</v>
      </c>
      <c r="J48" t="s">
        <v>53</v>
      </c>
      <c r="K48" t="s">
        <v>53</v>
      </c>
      <c r="L48" t="s">
        <v>53</v>
      </c>
      <c r="M48" t="s">
        <v>53</v>
      </c>
      <c r="N48" t="s">
        <v>53</v>
      </c>
      <c r="O48" t="s">
        <v>53</v>
      </c>
      <c r="P48" t="s">
        <v>53</v>
      </c>
      <c r="Q48" t="s">
        <v>53</v>
      </c>
      <c r="R48" t="s">
        <v>53</v>
      </c>
      <c r="T48" t="s">
        <v>53</v>
      </c>
      <c r="U48" t="s">
        <v>53</v>
      </c>
      <c r="V48" t="s">
        <v>53</v>
      </c>
      <c r="W48" t="s">
        <v>53</v>
      </c>
      <c r="X48" t="s">
        <v>53</v>
      </c>
      <c r="Y48" t="s">
        <v>53</v>
      </c>
      <c r="Z48" t="s">
        <v>53</v>
      </c>
      <c r="AA48" t="s">
        <v>53</v>
      </c>
      <c r="AB48" cm="1">
        <f t="array" ref="AB48">SUM(IF("X" = F48:AA48, 1, 0))</f>
        <v>20</v>
      </c>
      <c r="AC48" cm="1">
        <f t="array" ref="AC48">SUM(IF("?" = F48:AA48, 1, 0)) + AB48</f>
        <v>20</v>
      </c>
      <c r="AF48" t="b">
        <f t="shared" si="1"/>
        <v>1</v>
      </c>
      <c r="AG48" t="b">
        <f t="shared" si="1"/>
        <v>1</v>
      </c>
    </row>
    <row r="49" spans="1:33" x14ac:dyDescent="0.2">
      <c r="A49" t="s">
        <v>51</v>
      </c>
      <c r="B49">
        <v>19</v>
      </c>
      <c r="C49">
        <v>19</v>
      </c>
      <c r="F49" t="s">
        <v>53</v>
      </c>
      <c r="G49" t="s">
        <v>53</v>
      </c>
      <c r="I49" t="s">
        <v>53</v>
      </c>
      <c r="J49" t="s">
        <v>53</v>
      </c>
      <c r="L49" t="s">
        <v>53</v>
      </c>
      <c r="M49" t="s">
        <v>53</v>
      </c>
      <c r="N49" t="s">
        <v>53</v>
      </c>
      <c r="O49" t="s">
        <v>53</v>
      </c>
      <c r="P49" t="s">
        <v>53</v>
      </c>
      <c r="Q49" t="s">
        <v>53</v>
      </c>
      <c r="R49" t="s">
        <v>53</v>
      </c>
      <c r="S49" t="s">
        <v>53</v>
      </c>
      <c r="T49" t="s">
        <v>53</v>
      </c>
      <c r="U49" t="s">
        <v>53</v>
      </c>
      <c r="V49" t="s">
        <v>53</v>
      </c>
      <c r="W49" t="s">
        <v>53</v>
      </c>
      <c r="Y49" t="s">
        <v>53</v>
      </c>
      <c r="Z49" t="s">
        <v>53</v>
      </c>
      <c r="AA49" t="s">
        <v>53</v>
      </c>
      <c r="AB49" cm="1">
        <f t="array" ref="AB49">SUM(IF("X" = F49:AA49, 1, 0))</f>
        <v>19</v>
      </c>
      <c r="AC49" cm="1">
        <f t="array" ref="AC49">SUM(IF("?" = F49:AA49, 1, 0)) + AB49</f>
        <v>19</v>
      </c>
      <c r="AF49" t="b">
        <f t="shared" si="1"/>
        <v>1</v>
      </c>
      <c r="AG49" t="b">
        <f t="shared" si="1"/>
        <v>1</v>
      </c>
    </row>
    <row r="50" spans="1:33" x14ac:dyDescent="0.2">
      <c r="A50" t="s">
        <v>52</v>
      </c>
      <c r="B50">
        <v>14</v>
      </c>
      <c r="C50">
        <v>14</v>
      </c>
      <c r="F50" t="s">
        <v>53</v>
      </c>
      <c r="G50" t="s">
        <v>53</v>
      </c>
      <c r="K50" t="s">
        <v>53</v>
      </c>
      <c r="N50" t="s">
        <v>53</v>
      </c>
      <c r="O50" t="s">
        <v>53</v>
      </c>
      <c r="P50" t="s">
        <v>53</v>
      </c>
      <c r="Q50" t="s">
        <v>53</v>
      </c>
      <c r="R50" t="s">
        <v>53</v>
      </c>
      <c r="S50" t="s">
        <v>53</v>
      </c>
      <c r="T50" t="s">
        <v>53</v>
      </c>
      <c r="U50" t="s">
        <v>53</v>
      </c>
      <c r="W50" t="s">
        <v>53</v>
      </c>
      <c r="Z50" t="s">
        <v>53</v>
      </c>
      <c r="AA50" t="s">
        <v>53</v>
      </c>
      <c r="AB50" cm="1">
        <f t="array" ref="AB50">SUM(IF("X" = F50:AA50, 1, 0))</f>
        <v>14</v>
      </c>
      <c r="AC50" cm="1">
        <f t="array" ref="AC50">SUM(IF("?" = F50:AA50, 1, 0)) + AB50</f>
        <v>14</v>
      </c>
      <c r="AF50" t="b">
        <f t="shared" si="1"/>
        <v>1</v>
      </c>
      <c r="AG50" t="b">
        <f t="shared" si="1"/>
        <v>1</v>
      </c>
    </row>
    <row r="51" spans="1:33" x14ac:dyDescent="0.2">
      <c r="A51" t="s">
        <v>61</v>
      </c>
      <c r="B51">
        <v>18</v>
      </c>
      <c r="C51">
        <v>18</v>
      </c>
      <c r="F51" t="s">
        <v>53</v>
      </c>
      <c r="G51" t="s">
        <v>53</v>
      </c>
      <c r="I51" t="s">
        <v>53</v>
      </c>
      <c r="K51" t="s">
        <v>53</v>
      </c>
      <c r="L51" t="s">
        <v>53</v>
      </c>
      <c r="M51" t="s">
        <v>53</v>
      </c>
      <c r="N51" t="s">
        <v>53</v>
      </c>
      <c r="O51" t="s">
        <v>53</v>
      </c>
      <c r="P51" t="s">
        <v>53</v>
      </c>
      <c r="Q51" t="s">
        <v>53</v>
      </c>
      <c r="R51" t="s">
        <v>53</v>
      </c>
      <c r="S51" t="s">
        <v>53</v>
      </c>
      <c r="U51" t="s">
        <v>53</v>
      </c>
      <c r="V51" t="s">
        <v>53</v>
      </c>
      <c r="W51" t="s">
        <v>53</v>
      </c>
      <c r="X51" t="s">
        <v>53</v>
      </c>
      <c r="Y51" t="s">
        <v>53</v>
      </c>
      <c r="Z51" t="s">
        <v>53</v>
      </c>
      <c r="AB51" cm="1">
        <f t="array" ref="AB51">SUM(IF("X" = F51:AA51, 1, 0))</f>
        <v>18</v>
      </c>
      <c r="AC51" cm="1">
        <f t="array" ref="AC51">SUM(IF("?" = F51:AA51, 1, 0)) + AB51</f>
        <v>18</v>
      </c>
      <c r="AF51" t="b">
        <f t="shared" si="1"/>
        <v>1</v>
      </c>
      <c r="AG51" t="b">
        <f t="shared" si="1"/>
        <v>1</v>
      </c>
    </row>
    <row r="52" spans="1:33" x14ac:dyDescent="0.2">
      <c r="A52" t="s">
        <v>62</v>
      </c>
      <c r="B52">
        <v>17</v>
      </c>
      <c r="C52">
        <v>17</v>
      </c>
      <c r="F52" t="s">
        <v>53</v>
      </c>
      <c r="G52" t="s">
        <v>53</v>
      </c>
      <c r="H52" t="s">
        <v>53</v>
      </c>
      <c r="I52" t="s">
        <v>53</v>
      </c>
      <c r="L52" t="s">
        <v>53</v>
      </c>
      <c r="M52" t="s">
        <v>53</v>
      </c>
      <c r="N52" t="s">
        <v>53</v>
      </c>
      <c r="O52" t="s">
        <v>53</v>
      </c>
      <c r="P52" t="s">
        <v>53</v>
      </c>
      <c r="Q52" t="s">
        <v>53</v>
      </c>
      <c r="R52" t="s">
        <v>53</v>
      </c>
      <c r="U52" t="s">
        <v>53</v>
      </c>
      <c r="V52" t="s">
        <v>53</v>
      </c>
      <c r="W52" t="s">
        <v>53</v>
      </c>
      <c r="X52" t="s">
        <v>53</v>
      </c>
      <c r="Y52" t="s">
        <v>53</v>
      </c>
      <c r="Z52" t="s">
        <v>53</v>
      </c>
      <c r="AB52" cm="1">
        <f t="array" ref="AB52">SUM(IF("X" = F52:AA52, 1, 0))</f>
        <v>17</v>
      </c>
      <c r="AC52" cm="1">
        <f t="array" ref="AC52">SUM(IF("?" = F52:AA52, 1, 0)) + AB52</f>
        <v>17</v>
      </c>
      <c r="AF52" t="b">
        <f t="shared" si="1"/>
        <v>1</v>
      </c>
      <c r="AG52" t="b">
        <f t="shared" si="1"/>
        <v>1</v>
      </c>
    </row>
    <row r="53" spans="1:33" x14ac:dyDescent="0.2">
      <c r="A53" t="s">
        <v>63</v>
      </c>
      <c r="B53">
        <v>13</v>
      </c>
      <c r="C53">
        <v>13</v>
      </c>
      <c r="J53" t="s">
        <v>53</v>
      </c>
      <c r="N53" t="s">
        <v>53</v>
      </c>
      <c r="O53" t="s">
        <v>53</v>
      </c>
      <c r="P53" t="s">
        <v>53</v>
      </c>
      <c r="Q53" t="s">
        <v>53</v>
      </c>
      <c r="R53" t="s">
        <v>53</v>
      </c>
      <c r="T53" t="s">
        <v>53</v>
      </c>
      <c r="V53" t="s">
        <v>53</v>
      </c>
      <c r="W53" t="s">
        <v>53</v>
      </c>
      <c r="X53" t="s">
        <v>53</v>
      </c>
      <c r="Y53" t="s">
        <v>53</v>
      </c>
      <c r="Z53" t="s">
        <v>53</v>
      </c>
      <c r="AA53" t="s">
        <v>53</v>
      </c>
      <c r="AB53" cm="1">
        <f t="array" ref="AB53">SUM(IF("X" = F53:AA53, 1, 0))</f>
        <v>13</v>
      </c>
      <c r="AC53" cm="1">
        <f t="array" ref="AC53">SUM(IF("?" = F53:AA53, 1, 0)) + AB53</f>
        <v>13</v>
      </c>
      <c r="AF53" t="b">
        <f t="shared" si="1"/>
        <v>1</v>
      </c>
      <c r="AG53" t="b">
        <f t="shared" si="1"/>
        <v>1</v>
      </c>
    </row>
    <row r="54" spans="1:33" x14ac:dyDescent="0.2">
      <c r="B54">
        <f>AVERAGE(B36:B53)</f>
        <v>16.277777777777779</v>
      </c>
      <c r="C54">
        <f>AVERAGE(C36:C53)</f>
        <v>16.5</v>
      </c>
    </row>
    <row r="55" spans="1:33" x14ac:dyDescent="0.2">
      <c r="A55">
        <f>COUNTA(A36:A53)</f>
        <v>18</v>
      </c>
      <c r="B55">
        <f>B54/22</f>
        <v>0.73989898989898994</v>
      </c>
      <c r="C55">
        <f>C54/22</f>
        <v>0.75</v>
      </c>
    </row>
    <row r="56" spans="1:33" x14ac:dyDescent="0.2">
      <c r="E56" t="s">
        <v>59</v>
      </c>
      <c r="F56" cm="1">
        <f t="array" ref="F56">SUM(IF("X"=F2:F33,1, 0))</f>
        <v>28</v>
      </c>
      <c r="G56" cm="1">
        <f t="array" ref="G56">SUM(IF("X"=G2:G33,1, 0))</f>
        <v>31</v>
      </c>
      <c r="H56" cm="1">
        <f t="array" ref="H56">SUM(IF("X"=H2:H33,1, 0))</f>
        <v>15</v>
      </c>
      <c r="I56" cm="1">
        <f t="array" ref="I56">SUM(IF("X"=I2:I33,1, 0))</f>
        <v>15</v>
      </c>
      <c r="J56" cm="1">
        <f t="array" ref="J56">SUM(IF("X"=J2:J33,1, 0))</f>
        <v>19</v>
      </c>
      <c r="K56" cm="1">
        <f t="array" ref="K56">SUM(IF("X"=K2:K33,1, 0))</f>
        <v>21</v>
      </c>
      <c r="L56" cm="1">
        <f t="array" ref="L56">SUM(IF("X"=L2:L33,1, 0))</f>
        <v>14</v>
      </c>
      <c r="M56" cm="1">
        <f t="array" ref="M56">SUM(IF("X"=M2:M33,1, 0))</f>
        <v>22</v>
      </c>
      <c r="N56" cm="1">
        <f t="array" ref="N56">SUM(IF("X"=N2:N33,1, 0))</f>
        <v>26</v>
      </c>
      <c r="O56" cm="1">
        <f t="array" ref="O56">SUM(IF("X"=O2:O33,1, 0))</f>
        <v>14</v>
      </c>
      <c r="P56" cm="1">
        <f t="array" ref="P56">SUM(IF("X"=P2:P33,1, 0))</f>
        <v>26</v>
      </c>
      <c r="Q56" cm="1">
        <f t="array" ref="Q56">SUM(IF("X"=Q2:Q33,1, 0))</f>
        <v>26</v>
      </c>
      <c r="R56" cm="1">
        <f t="array" ref="R56">SUM(IF("X"=R2:R33,1, 0))</f>
        <v>31</v>
      </c>
      <c r="S56" cm="1">
        <f t="array" ref="S56">SUM(IF("X"=S2:S33,1, 0))</f>
        <v>3</v>
      </c>
      <c r="T56" cm="1">
        <f t="array" ref="T56">SUM(IF("X"=T2:T33,1, 0))</f>
        <v>31</v>
      </c>
      <c r="U56" cm="1">
        <f t="array" ref="U56">SUM(IF("X"=U2:U33,1, 0))</f>
        <v>29</v>
      </c>
      <c r="V56" cm="1">
        <f t="array" ref="V56">SUM(IF("X"=V2:V33,1, 0))</f>
        <v>17</v>
      </c>
      <c r="W56" cm="1">
        <f t="array" ref="W56">SUM(IF("X"=W2:W33,1, 0))</f>
        <v>26</v>
      </c>
      <c r="X56" cm="1">
        <f t="array" ref="X56">SUM(IF("X"=X2:X33,1, 0))</f>
        <v>8</v>
      </c>
      <c r="Y56" cm="1">
        <f t="array" ref="Y56">SUM(IF("X"=Y2:Y33,1, 0))</f>
        <v>20</v>
      </c>
      <c r="Z56" cm="1">
        <f t="array" ref="Z56">SUM(IF("X"=Z2:Z33,1, 0))</f>
        <v>13</v>
      </c>
      <c r="AA56" cm="1">
        <f t="array" ref="AA56">SUM(IF("X"=AA2:AA33,1, 0))</f>
        <v>15</v>
      </c>
    </row>
    <row r="57" spans="1:33" x14ac:dyDescent="0.2">
      <c r="F57" s="1">
        <f>F56/$A$34</f>
        <v>0.875</v>
      </c>
      <c r="G57" s="1">
        <f t="shared" ref="G57:AA57" si="2">G56/$A$34</f>
        <v>0.96875</v>
      </c>
      <c r="H57" s="1">
        <f t="shared" si="2"/>
        <v>0.46875</v>
      </c>
      <c r="I57" s="1">
        <f t="shared" si="2"/>
        <v>0.46875</v>
      </c>
      <c r="J57" s="1">
        <f t="shared" si="2"/>
        <v>0.59375</v>
      </c>
      <c r="K57" s="1">
        <f t="shared" si="2"/>
        <v>0.65625</v>
      </c>
      <c r="L57" s="1">
        <f t="shared" si="2"/>
        <v>0.4375</v>
      </c>
      <c r="M57" s="1">
        <f t="shared" si="2"/>
        <v>0.6875</v>
      </c>
      <c r="N57" s="1">
        <f t="shared" si="2"/>
        <v>0.8125</v>
      </c>
      <c r="O57" s="1">
        <f t="shared" si="2"/>
        <v>0.4375</v>
      </c>
      <c r="P57" s="1">
        <f t="shared" si="2"/>
        <v>0.8125</v>
      </c>
      <c r="Q57" s="1">
        <f t="shared" si="2"/>
        <v>0.8125</v>
      </c>
      <c r="R57" s="1">
        <f t="shared" si="2"/>
        <v>0.96875</v>
      </c>
      <c r="S57" s="1">
        <f t="shared" si="2"/>
        <v>9.375E-2</v>
      </c>
      <c r="T57" s="1">
        <f t="shared" si="2"/>
        <v>0.96875</v>
      </c>
      <c r="U57" s="1">
        <f t="shared" si="2"/>
        <v>0.90625</v>
      </c>
      <c r="V57" s="1">
        <f t="shared" si="2"/>
        <v>0.53125</v>
      </c>
      <c r="W57" s="1">
        <f t="shared" si="2"/>
        <v>0.8125</v>
      </c>
      <c r="X57" s="1">
        <f t="shared" si="2"/>
        <v>0.25</v>
      </c>
      <c r="Y57" s="1">
        <f t="shared" si="2"/>
        <v>0.625</v>
      </c>
      <c r="Z57" s="1">
        <f t="shared" si="2"/>
        <v>0.40625</v>
      </c>
      <c r="AA57" s="1">
        <f t="shared" si="2"/>
        <v>0.46875</v>
      </c>
    </row>
    <row r="58" spans="1:33" x14ac:dyDescent="0.2">
      <c r="H58" t="s">
        <v>53</v>
      </c>
      <c r="I58" t="s">
        <v>53</v>
      </c>
      <c r="L58" t="s">
        <v>53</v>
      </c>
      <c r="O58" t="s">
        <v>53</v>
      </c>
      <c r="S58" t="s">
        <v>53</v>
      </c>
      <c r="X58" t="s">
        <v>53</v>
      </c>
      <c r="Z58" t="s">
        <v>53</v>
      </c>
      <c r="AA58" t="s">
        <v>53</v>
      </c>
    </row>
    <row r="59" spans="1:33" x14ac:dyDescent="0.2">
      <c r="E59" t="s">
        <v>60</v>
      </c>
      <c r="F59" cm="1">
        <f t="array" ref="F59">SUM(IF("X"=F36:F53,1, 0))</f>
        <v>17</v>
      </c>
      <c r="G59" cm="1">
        <f t="array" ref="G59">SUM(IF("X"=G36:G53,1, 0))</f>
        <v>14</v>
      </c>
      <c r="H59" cm="1">
        <f t="array" ref="H59">SUM(IF("X"=H36:H53,1, 0))</f>
        <v>9</v>
      </c>
      <c r="I59" cm="1">
        <f t="array" ref="I59">SUM(IF("X"=I36:I53,1, 0))</f>
        <v>10</v>
      </c>
      <c r="J59" cm="1">
        <f t="array" ref="J59">SUM(IF("X"=J36:J53,1, 0))</f>
        <v>13</v>
      </c>
      <c r="K59" cm="1">
        <f t="array" ref="K59">SUM(IF("X"=K36:K53,1, 0))</f>
        <v>14</v>
      </c>
      <c r="L59" cm="1">
        <f t="array" ref="L59">SUM(IF("X"=L36:L53,1, 0))</f>
        <v>12</v>
      </c>
      <c r="M59" cm="1">
        <f t="array" ref="M59">SUM(IF("X"=M36:M53,1, 0))</f>
        <v>13</v>
      </c>
      <c r="N59" cm="1">
        <f t="array" ref="N59">SUM(IF("X"=N36:N53,1, 0))</f>
        <v>14</v>
      </c>
      <c r="O59" cm="1">
        <f t="array" ref="O59">SUM(IF("X"=O36:O53,1, 0))</f>
        <v>16</v>
      </c>
      <c r="P59" cm="1">
        <f t="array" ref="P59">SUM(IF("X"=P36:P53,1, 0))</f>
        <v>18</v>
      </c>
      <c r="Q59" cm="1">
        <f t="array" ref="Q59">SUM(IF("X"=Q36:Q53,1, 0))</f>
        <v>16</v>
      </c>
      <c r="R59" cm="1">
        <f t="array" ref="R59">SUM(IF("X"=R36:R53,1, 0))</f>
        <v>17</v>
      </c>
      <c r="S59" cm="1">
        <f t="array" ref="S59">SUM(IF("X"=S36:S53,1, 0))</f>
        <v>12</v>
      </c>
      <c r="T59" cm="1">
        <f t="array" ref="T59">SUM(IF("X"=T36:T53,1, 0))</f>
        <v>10</v>
      </c>
      <c r="U59" cm="1">
        <f t="array" ref="U59">SUM(IF("X"=U36:U53,1, 0))</f>
        <v>10</v>
      </c>
      <c r="V59" cm="1">
        <f t="array" ref="V59">SUM(IF("X"=V36:V53,1, 0))</f>
        <v>13</v>
      </c>
      <c r="W59" cm="1">
        <f t="array" ref="W59">SUM(IF("X"=W36:W53,1, 0))</f>
        <v>15</v>
      </c>
      <c r="X59" cm="1">
        <f t="array" ref="X59">SUM(IF("X"=X36:X53,1, 0))</f>
        <v>10</v>
      </c>
      <c r="Y59" cm="1">
        <f t="array" ref="Y59">SUM(IF("X"=Y36:Y53,1, 0))</f>
        <v>14</v>
      </c>
      <c r="Z59" cm="1">
        <f t="array" ref="Z59">SUM(IF("X"=Z36:Z53,1, 0))</f>
        <v>15</v>
      </c>
      <c r="AA59" cm="1">
        <f t="array" ref="AA59">SUM(IF("X"=AA36:AA53,1, 0))</f>
        <v>15</v>
      </c>
    </row>
    <row r="60" spans="1:33" x14ac:dyDescent="0.2">
      <c r="F60" s="1">
        <f>F59/$A$55</f>
        <v>0.94444444444444442</v>
      </c>
      <c r="G60" s="1">
        <f t="shared" ref="G60:AA60" si="3">G59/$A$55</f>
        <v>0.77777777777777779</v>
      </c>
      <c r="H60" s="1">
        <f t="shared" si="3"/>
        <v>0.5</v>
      </c>
      <c r="I60" s="1">
        <f t="shared" si="3"/>
        <v>0.55555555555555558</v>
      </c>
      <c r="J60" s="1">
        <f t="shared" si="3"/>
        <v>0.72222222222222221</v>
      </c>
      <c r="K60" s="1">
        <f t="shared" si="3"/>
        <v>0.77777777777777779</v>
      </c>
      <c r="L60" s="1">
        <f t="shared" si="3"/>
        <v>0.66666666666666663</v>
      </c>
      <c r="M60" s="1">
        <f t="shared" si="3"/>
        <v>0.72222222222222221</v>
      </c>
      <c r="N60" s="1">
        <f t="shared" si="3"/>
        <v>0.77777777777777779</v>
      </c>
      <c r="O60" s="1">
        <f t="shared" si="3"/>
        <v>0.88888888888888884</v>
      </c>
      <c r="P60" s="1">
        <f t="shared" si="3"/>
        <v>1</v>
      </c>
      <c r="Q60" s="1">
        <f t="shared" si="3"/>
        <v>0.88888888888888884</v>
      </c>
      <c r="R60" s="1">
        <f t="shared" si="3"/>
        <v>0.94444444444444442</v>
      </c>
      <c r="S60" s="1">
        <f t="shared" si="3"/>
        <v>0.66666666666666663</v>
      </c>
      <c r="T60" s="1">
        <f t="shared" si="3"/>
        <v>0.55555555555555558</v>
      </c>
      <c r="U60" s="1">
        <f t="shared" si="3"/>
        <v>0.55555555555555558</v>
      </c>
      <c r="V60" s="1">
        <f t="shared" si="3"/>
        <v>0.72222222222222221</v>
      </c>
      <c r="W60" s="1">
        <f t="shared" si="3"/>
        <v>0.83333333333333337</v>
      </c>
      <c r="X60" s="1">
        <f t="shared" si="3"/>
        <v>0.55555555555555558</v>
      </c>
      <c r="Y60" s="1">
        <f t="shared" si="3"/>
        <v>0.77777777777777779</v>
      </c>
      <c r="Z60" s="1">
        <f t="shared" si="3"/>
        <v>0.83333333333333337</v>
      </c>
      <c r="AA60" s="1">
        <f t="shared" si="3"/>
        <v>0.83333333333333337</v>
      </c>
    </row>
    <row r="62" spans="1:33" x14ac:dyDescent="0.2">
      <c r="A62" t="s">
        <v>58</v>
      </c>
      <c r="B62">
        <v>17</v>
      </c>
      <c r="C62">
        <v>21</v>
      </c>
      <c r="F62" t="s">
        <v>53</v>
      </c>
      <c r="G62" t="s">
        <v>53</v>
      </c>
      <c r="H62" t="s">
        <v>43</v>
      </c>
      <c r="I62" t="s">
        <v>53</v>
      </c>
      <c r="J62" t="s">
        <v>53</v>
      </c>
      <c r="K62" t="s">
        <v>53</v>
      </c>
      <c r="L62" t="s">
        <v>53</v>
      </c>
      <c r="M62" t="s">
        <v>53</v>
      </c>
      <c r="N62" t="s">
        <v>53</v>
      </c>
      <c r="O62" t="s">
        <v>53</v>
      </c>
      <c r="P62" t="s">
        <v>53</v>
      </c>
      <c r="R62" t="s">
        <v>53</v>
      </c>
      <c r="S62" t="s">
        <v>43</v>
      </c>
      <c r="T62" t="s">
        <v>53</v>
      </c>
      <c r="U62" t="s">
        <v>53</v>
      </c>
      <c r="V62" t="s">
        <v>53</v>
      </c>
      <c r="W62" t="s">
        <v>53</v>
      </c>
      <c r="X62" t="s">
        <v>53</v>
      </c>
      <c r="Y62" t="s">
        <v>53</v>
      </c>
      <c r="Z62" t="s">
        <v>53</v>
      </c>
      <c r="AA62" t="s">
        <v>53</v>
      </c>
      <c r="AB62" cm="1">
        <f t="array" ref="AB62">SUM(IF("X" = F62:AA62, 1, 0))</f>
        <v>19</v>
      </c>
      <c r="AC62" cm="1">
        <f t="array" ref="AC62">SUM(IF("?" = F62:AA62, 1, 0)) + AB62</f>
        <v>21</v>
      </c>
    </row>
    <row r="64" spans="1:33" x14ac:dyDescent="0.2">
      <c r="F64" s="1">
        <f>F60-F57</f>
        <v>6.944444444444442E-2</v>
      </c>
      <c r="G64" s="2">
        <f t="shared" ref="G64:AA64" si="4">G60-G57</f>
        <v>-0.19097222222222221</v>
      </c>
      <c r="H64" s="1">
        <f t="shared" si="4"/>
        <v>3.125E-2</v>
      </c>
      <c r="I64" s="1">
        <f t="shared" si="4"/>
        <v>8.680555555555558E-2</v>
      </c>
      <c r="J64" s="1">
        <f t="shared" si="4"/>
        <v>0.12847222222222221</v>
      </c>
      <c r="K64" s="1">
        <f t="shared" si="4"/>
        <v>0.12152777777777779</v>
      </c>
      <c r="L64" s="1">
        <f t="shared" si="4"/>
        <v>0.22916666666666663</v>
      </c>
      <c r="M64" s="1">
        <f t="shared" si="4"/>
        <v>3.472222222222221E-2</v>
      </c>
      <c r="N64" s="2">
        <f t="shared" si="4"/>
        <v>-3.472222222222221E-2</v>
      </c>
      <c r="O64" s="1">
        <f t="shared" si="4"/>
        <v>0.45138888888888884</v>
      </c>
      <c r="P64" s="1">
        <f t="shared" si="4"/>
        <v>0.1875</v>
      </c>
      <c r="Q64" s="1">
        <f t="shared" si="4"/>
        <v>7.638888888888884E-2</v>
      </c>
      <c r="R64" s="2">
        <f t="shared" si="4"/>
        <v>-2.430555555555558E-2</v>
      </c>
      <c r="S64" s="1">
        <f t="shared" si="4"/>
        <v>0.57291666666666663</v>
      </c>
      <c r="T64" s="2">
        <f t="shared" si="4"/>
        <v>-0.41319444444444442</v>
      </c>
      <c r="U64" s="2">
        <f t="shared" si="4"/>
        <v>-0.35069444444444442</v>
      </c>
      <c r="V64" s="1">
        <f t="shared" si="4"/>
        <v>0.19097222222222221</v>
      </c>
      <c r="W64" s="1">
        <f t="shared" si="4"/>
        <v>2.083333333333337E-2</v>
      </c>
      <c r="X64" s="1">
        <f t="shared" si="4"/>
        <v>0.30555555555555558</v>
      </c>
      <c r="Y64" s="1">
        <f t="shared" si="4"/>
        <v>0.15277777777777779</v>
      </c>
      <c r="Z64" s="1">
        <f t="shared" si="4"/>
        <v>0.42708333333333337</v>
      </c>
      <c r="AA64" s="1">
        <f t="shared" si="4"/>
        <v>0.36458333333333337</v>
      </c>
    </row>
    <row r="65" spans="6:29" x14ac:dyDescent="0.2">
      <c r="G65" t="s">
        <v>53</v>
      </c>
      <c r="N65" t="s">
        <v>53</v>
      </c>
      <c r="R65" t="s">
        <v>53</v>
      </c>
      <c r="T65" t="s">
        <v>53</v>
      </c>
      <c r="U65" t="s">
        <v>53</v>
      </c>
    </row>
    <row r="68" spans="6:29" x14ac:dyDescent="0.2">
      <c r="F68" s="6">
        <f>(F60/F57)</f>
        <v>1.0793650793650793</v>
      </c>
      <c r="G68" s="6">
        <f t="shared" ref="G68:AA68" si="5">(G60/G57)</f>
        <v>0.80286738351254483</v>
      </c>
      <c r="H68" s="6">
        <f t="shared" si="5"/>
        <v>1.0666666666666667</v>
      </c>
      <c r="I68" s="6">
        <f t="shared" si="5"/>
        <v>1.1851851851851853</v>
      </c>
      <c r="J68" s="6">
        <f t="shared" si="5"/>
        <v>1.2163742690058479</v>
      </c>
      <c r="K68" s="6">
        <f t="shared" si="5"/>
        <v>1.1851851851851851</v>
      </c>
      <c r="L68" s="6">
        <f t="shared" si="5"/>
        <v>1.5238095238095237</v>
      </c>
      <c r="M68" s="6">
        <f t="shared" si="5"/>
        <v>1.0505050505050504</v>
      </c>
      <c r="N68" s="6">
        <f t="shared" si="5"/>
        <v>0.95726495726495731</v>
      </c>
      <c r="O68" s="6">
        <f t="shared" si="5"/>
        <v>2.0317460317460316</v>
      </c>
      <c r="P68" s="6">
        <f t="shared" si="5"/>
        <v>1.2307692307692308</v>
      </c>
      <c r="Q68" s="6">
        <f t="shared" si="5"/>
        <v>1.0940170940170939</v>
      </c>
      <c r="R68" s="6">
        <f t="shared" si="5"/>
        <v>0.97491039426523296</v>
      </c>
      <c r="S68" s="6">
        <f t="shared" si="5"/>
        <v>7.1111111111111107</v>
      </c>
      <c r="T68" s="6">
        <f t="shared" si="5"/>
        <v>0.57347670250896055</v>
      </c>
      <c r="U68" s="6">
        <f t="shared" si="5"/>
        <v>0.61302681992337171</v>
      </c>
      <c r="V68" s="6">
        <f t="shared" si="5"/>
        <v>1.3594771241830066</v>
      </c>
      <c r="W68" s="6">
        <f t="shared" si="5"/>
        <v>1.0256410256410258</v>
      </c>
      <c r="X68" s="6">
        <f t="shared" si="5"/>
        <v>2.2222222222222223</v>
      </c>
      <c r="Y68" s="6">
        <f t="shared" si="5"/>
        <v>1.2444444444444445</v>
      </c>
      <c r="Z68" s="6">
        <f t="shared" si="5"/>
        <v>2.0512820512820515</v>
      </c>
      <c r="AA68" s="6">
        <f t="shared" si="5"/>
        <v>1.7777777777777779</v>
      </c>
      <c r="AC68">
        <f>PRODUCT((F68:AA68))</f>
        <v>226.90405830464974</v>
      </c>
    </row>
    <row r="70" spans="6:29" x14ac:dyDescent="0.2">
      <c r="F70">
        <f>((F56)/($A$34))/((F59)/($A$55))</f>
        <v>0.92647058823529416</v>
      </c>
      <c r="G70">
        <f t="shared" ref="G70:AA70" si="6">((G56)/($A$34))/((G59)/($A$55))</f>
        <v>1.2455357142857142</v>
      </c>
      <c r="H70">
        <f t="shared" si="6"/>
        <v>0.9375</v>
      </c>
      <c r="I70">
        <f t="shared" si="6"/>
        <v>0.84375</v>
      </c>
      <c r="J70">
        <f t="shared" si="6"/>
        <v>0.82211538461538458</v>
      </c>
      <c r="K70">
        <f t="shared" si="6"/>
        <v>0.84375</v>
      </c>
      <c r="L70">
        <f t="shared" si="6"/>
        <v>0.65625</v>
      </c>
      <c r="M70">
        <f t="shared" si="6"/>
        <v>0.95192307692307698</v>
      </c>
      <c r="N70">
        <f t="shared" si="6"/>
        <v>1.0446428571428572</v>
      </c>
      <c r="O70">
        <f t="shared" si="6"/>
        <v>0.4921875</v>
      </c>
      <c r="P70">
        <f t="shared" si="6"/>
        <v>0.8125</v>
      </c>
      <c r="Q70">
        <f t="shared" si="6"/>
        <v>0.9140625</v>
      </c>
      <c r="R70">
        <f t="shared" si="6"/>
        <v>1.0257352941176472</v>
      </c>
      <c r="S70">
        <f t="shared" si="6"/>
        <v>0.140625</v>
      </c>
      <c r="T70">
        <f t="shared" si="6"/>
        <v>1.7437499999999999</v>
      </c>
      <c r="U70">
        <f t="shared" si="6"/>
        <v>1.6312499999999999</v>
      </c>
      <c r="V70">
        <f t="shared" si="6"/>
        <v>0.73557692307692313</v>
      </c>
      <c r="W70">
        <f t="shared" si="6"/>
        <v>0.97499999999999998</v>
      </c>
      <c r="X70">
        <f t="shared" si="6"/>
        <v>0.44999999999999996</v>
      </c>
      <c r="Y70">
        <f t="shared" si="6"/>
        <v>0.8035714285714286</v>
      </c>
      <c r="Z70">
        <f t="shared" si="6"/>
        <v>0.48749999999999999</v>
      </c>
      <c r="AA70">
        <f t="shared" si="6"/>
        <v>0.5625</v>
      </c>
      <c r="AC70">
        <f>PRODUCT((F70:AA70))</f>
        <v>4.4071490279709458E-3</v>
      </c>
    </row>
    <row r="71" spans="6:29" x14ac:dyDescent="0.2">
      <c r="F71">
        <f>((F56+1)/($A$34+2))/((F59+1)/($A$55+2))</f>
        <v>0.94771241830065356</v>
      </c>
      <c r="G71">
        <f t="shared" ref="G71:AA71" si="7">((G56+1)/($A$34+2))/((G59+1)/($A$55+2))</f>
        <v>1.2549019607843137</v>
      </c>
      <c r="H71">
        <f t="shared" si="7"/>
        <v>0.94117647058823528</v>
      </c>
      <c r="I71">
        <f t="shared" si="7"/>
        <v>0.85561497326203195</v>
      </c>
      <c r="J71">
        <f t="shared" si="7"/>
        <v>0.84033613445378164</v>
      </c>
      <c r="K71">
        <f t="shared" si="7"/>
        <v>0.86274509803921573</v>
      </c>
      <c r="L71">
        <f t="shared" si="7"/>
        <v>0.67873303167420806</v>
      </c>
      <c r="M71">
        <f t="shared" si="7"/>
        <v>0.96638655462184886</v>
      </c>
      <c r="N71">
        <f t="shared" si="7"/>
        <v>1.0588235294117647</v>
      </c>
      <c r="O71">
        <f t="shared" si="7"/>
        <v>0.51903114186851207</v>
      </c>
      <c r="P71">
        <f t="shared" si="7"/>
        <v>0.83591331269349844</v>
      </c>
      <c r="Q71">
        <f t="shared" si="7"/>
        <v>0.93425605536332179</v>
      </c>
      <c r="R71">
        <f t="shared" si="7"/>
        <v>1.0457516339869282</v>
      </c>
      <c r="S71">
        <f t="shared" si="7"/>
        <v>0.18099547511312217</v>
      </c>
      <c r="T71">
        <f t="shared" si="7"/>
        <v>1.7112299465240639</v>
      </c>
      <c r="U71">
        <f t="shared" si="7"/>
        <v>1.6042780748663099</v>
      </c>
      <c r="V71">
        <f t="shared" si="7"/>
        <v>0.75630252100840345</v>
      </c>
      <c r="W71">
        <f t="shared" si="7"/>
        <v>0.99264705882352933</v>
      </c>
      <c r="X71">
        <f t="shared" si="7"/>
        <v>0.48128342245989303</v>
      </c>
      <c r="Y71">
        <f t="shared" si="7"/>
        <v>0.82352941176470595</v>
      </c>
      <c r="Z71">
        <f t="shared" si="7"/>
        <v>0.51470588235294112</v>
      </c>
      <c r="AA71">
        <f t="shared" si="7"/>
        <v>0.58823529411764697</v>
      </c>
      <c r="AC71">
        <f>PRODUCT((F71:AA71))</f>
        <v>9.1501939243413266E-3</v>
      </c>
    </row>
    <row r="74" spans="6:29" x14ac:dyDescent="0.2">
      <c r="F74">
        <f>1/((F59+1)/(F59+F56+2))</f>
        <v>2.6111111111111112</v>
      </c>
      <c r="G74">
        <f t="shared" ref="G74:Z74" si="8">1/((G59+1)/(G59+G56+2))</f>
        <v>3.1333333333333333</v>
      </c>
      <c r="H74">
        <f t="shared" si="8"/>
        <v>2.5999999999999996</v>
      </c>
      <c r="I74">
        <f t="shared" si="8"/>
        <v>2.4545454545454546</v>
      </c>
      <c r="J74">
        <f t="shared" si="8"/>
        <v>2.4285714285714288</v>
      </c>
      <c r="K74">
        <f t="shared" si="8"/>
        <v>2.4666666666666663</v>
      </c>
      <c r="L74">
        <f t="shared" si="8"/>
        <v>2.1538461538461537</v>
      </c>
      <c r="M74">
        <f t="shared" si="8"/>
        <v>2.6428571428571428</v>
      </c>
      <c r="N74">
        <f t="shared" si="8"/>
        <v>2.8</v>
      </c>
      <c r="O74">
        <f t="shared" si="8"/>
        <v>1.8823529411764706</v>
      </c>
      <c r="P74">
        <f t="shared" si="8"/>
        <v>2.4210526315789473</v>
      </c>
      <c r="Q74">
        <f t="shared" si="8"/>
        <v>2.5882352941176472</v>
      </c>
      <c r="R74">
        <f t="shared" si="8"/>
        <v>2.7777777777777777</v>
      </c>
      <c r="S74">
        <f t="shared" si="8"/>
        <v>1.3076923076923077</v>
      </c>
      <c r="T74">
        <f t="shared" si="8"/>
        <v>3.9090909090909087</v>
      </c>
      <c r="U74">
        <f t="shared" si="8"/>
        <v>3.7272727272727271</v>
      </c>
      <c r="V74">
        <f t="shared" si="8"/>
        <v>2.2857142857142856</v>
      </c>
      <c r="W74">
        <f t="shared" si="8"/>
        <v>2.6875</v>
      </c>
      <c r="X74">
        <f t="shared" si="8"/>
        <v>1.8181818181818181</v>
      </c>
      <c r="Y74">
        <f t="shared" si="8"/>
        <v>2.4</v>
      </c>
      <c r="Z74">
        <f t="shared" si="8"/>
        <v>1.875</v>
      </c>
      <c r="AA74">
        <f>1/((AA59+1)/(AA59+AA56+2))</f>
        <v>2</v>
      </c>
      <c r="AC74">
        <f>PRODUCT((F74:AA74))</f>
        <v>312833614.3782981</v>
      </c>
    </row>
    <row r="78" spans="6:29" x14ac:dyDescent="0.2">
      <c r="F78">
        <f ca="1">_xlfn.NORM.INV(RAND(),0,STDEV($F70:$AA70))</f>
        <v>0.3952023901594971</v>
      </c>
      <c r="G78">
        <f t="shared" ref="G78:AA79" ca="1" si="9">_xlfn.NORM.INV(RAND(),0,STDEV($F70:$AA70))</f>
        <v>-0.49724439855467456</v>
      </c>
      <c r="H78">
        <f t="shared" ca="1" si="9"/>
        <v>0.26801269418275347</v>
      </c>
      <c r="I78">
        <f t="shared" ca="1" si="9"/>
        <v>7.6488434920099465E-3</v>
      </c>
      <c r="J78">
        <f t="shared" ca="1" si="9"/>
        <v>-0.38170903006700679</v>
      </c>
      <c r="K78">
        <f t="shared" ca="1" si="9"/>
        <v>-0.22799327125985225</v>
      </c>
      <c r="L78">
        <f t="shared" ca="1" si="9"/>
        <v>0.52609652272819962</v>
      </c>
      <c r="M78">
        <f t="shared" ca="1" si="9"/>
        <v>6.2007735655473468E-2</v>
      </c>
      <c r="N78">
        <f t="shared" ca="1" si="9"/>
        <v>-0.21526463707470797</v>
      </c>
      <c r="O78">
        <f t="shared" ca="1" si="9"/>
        <v>-3.8721987951617021E-2</v>
      </c>
      <c r="P78">
        <f t="shared" ca="1" si="9"/>
        <v>-4.2342848336124922E-2</v>
      </c>
      <c r="Q78">
        <f t="shared" ca="1" si="9"/>
        <v>0.18957815766157537</v>
      </c>
      <c r="R78">
        <f t="shared" ca="1" si="9"/>
        <v>-0.73729718028773505</v>
      </c>
      <c r="S78">
        <f t="shared" ca="1" si="9"/>
        <v>-0.18755648373250014</v>
      </c>
      <c r="T78">
        <f t="shared" ca="1" si="9"/>
        <v>0.1022647795445943</v>
      </c>
      <c r="U78">
        <f t="shared" ca="1" si="9"/>
        <v>-0.11791376174902149</v>
      </c>
      <c r="V78">
        <f t="shared" ca="1" si="9"/>
        <v>0.27690297513502182</v>
      </c>
      <c r="W78">
        <f t="shared" ca="1" si="9"/>
        <v>0.50006289769158585</v>
      </c>
      <c r="X78">
        <f t="shared" ca="1" si="9"/>
        <v>9.4723525874831502E-2</v>
      </c>
      <c r="Y78">
        <f t="shared" ca="1" si="9"/>
        <v>-0.19921052947486811</v>
      </c>
      <c r="Z78">
        <f t="shared" ca="1" si="9"/>
        <v>0.76800605870065974</v>
      </c>
      <c r="AA78">
        <f t="shared" ca="1" si="9"/>
        <v>0.22346520076820831</v>
      </c>
    </row>
    <row r="79" spans="6:29" x14ac:dyDescent="0.2">
      <c r="F79">
        <f ca="1">_xlfn.NORM.INV(RAND(),0,STDEV($F71:$AA71))</f>
        <v>0.51289706791896439</v>
      </c>
      <c r="G79">
        <f t="shared" ca="1" si="9"/>
        <v>0.13791450132082664</v>
      </c>
      <c r="H79">
        <f t="shared" ca="1" si="9"/>
        <v>2.6888546965070224E-2</v>
      </c>
      <c r="I79">
        <f t="shared" ca="1" si="9"/>
        <v>-0.10414641477357989</v>
      </c>
      <c r="J79">
        <f t="shared" ca="1" si="9"/>
        <v>-0.27996562619611348</v>
      </c>
      <c r="K79">
        <f t="shared" ca="1" si="9"/>
        <v>-0.45248805772381179</v>
      </c>
      <c r="L79">
        <f t="shared" ca="1" si="9"/>
        <v>9.45409371829974E-2</v>
      </c>
      <c r="M79">
        <f t="shared" ca="1" si="9"/>
        <v>0.16366015908033155</v>
      </c>
      <c r="N79">
        <f t="shared" ca="1" si="9"/>
        <v>-0.16945054718507629</v>
      </c>
      <c r="O79">
        <f t="shared" ca="1" si="9"/>
        <v>-2.195804779063109E-2</v>
      </c>
      <c r="P79">
        <f t="shared" ca="1" si="9"/>
        <v>0.4373400732015803</v>
      </c>
      <c r="Q79">
        <f t="shared" ca="1" si="9"/>
        <v>2.7214635522229153E-2</v>
      </c>
      <c r="R79">
        <f t="shared" ca="1" si="9"/>
        <v>0.25095580460643674</v>
      </c>
      <c r="S79">
        <f t="shared" ca="1" si="9"/>
        <v>-0.31509959117485742</v>
      </c>
      <c r="T79">
        <f t="shared" ca="1" si="9"/>
        <v>0.42523722952490256</v>
      </c>
      <c r="U79">
        <f t="shared" ca="1" si="9"/>
        <v>-0.55558146097866401</v>
      </c>
      <c r="V79">
        <f t="shared" ca="1" si="9"/>
        <v>-5.2889692123492676E-2</v>
      </c>
      <c r="W79">
        <f t="shared" ca="1" si="9"/>
        <v>0.21746756348323731</v>
      </c>
      <c r="X79">
        <f t="shared" ca="1" si="9"/>
        <v>-5.6122935999348006E-2</v>
      </c>
      <c r="Y79">
        <f t="shared" ca="1" si="9"/>
        <v>-0.78202772448652713</v>
      </c>
      <c r="Z79">
        <f t="shared" ca="1" si="9"/>
        <v>0.19902575767341751</v>
      </c>
      <c r="AA79">
        <f t="shared" ca="1" si="9"/>
        <v>-0.28432615483449347</v>
      </c>
    </row>
    <row r="81" spans="28:29" x14ac:dyDescent="0.2">
      <c r="AB81" t="s">
        <v>86</v>
      </c>
      <c r="AC81">
        <f ca="1">_xlfn.T.TEST(F70:AA70,F78:AA78,2,3)</f>
        <v>1.4279090903985271E-9</v>
      </c>
    </row>
    <row r="82" spans="28:29" x14ac:dyDescent="0.2">
      <c r="AC82">
        <f ca="1">_xlfn.T.TEST(F71:AA71,F79:AA79,2,3)</f>
        <v>2.8920040872605933E-11</v>
      </c>
    </row>
    <row r="109" spans="6:8" x14ac:dyDescent="0.2">
      <c r="F109">
        <f ca="1">_xlfn.NORM.INV(RAND(),0,STDEV($F$70:$AA$70))</f>
        <v>0.37992659829654363</v>
      </c>
      <c r="H109">
        <f ca="1">_xlfn.T.TEST(F109:F342,F70:AA70,2,3)</f>
        <v>1.9063377664823219E-11</v>
      </c>
    </row>
    <row r="110" spans="6:8" x14ac:dyDescent="0.2">
      <c r="F110">
        <f t="shared" ref="F110:F173" ca="1" si="10">_xlfn.NORM.INV(RAND(),0,STDEV($F$70:$AA$70))</f>
        <v>0.4144760730122784</v>
      </c>
    </row>
    <row r="111" spans="6:8" x14ac:dyDescent="0.2">
      <c r="F111">
        <f t="shared" ca="1" si="10"/>
        <v>-0.29792556715723906</v>
      </c>
    </row>
    <row r="112" spans="6:8" x14ac:dyDescent="0.2">
      <c r="F112">
        <f t="shared" ca="1" si="10"/>
        <v>-2.7886351277777027E-2</v>
      </c>
    </row>
    <row r="113" spans="6:6" x14ac:dyDescent="0.2">
      <c r="F113">
        <f t="shared" ca="1" si="10"/>
        <v>-0.10344968290279338</v>
      </c>
    </row>
    <row r="114" spans="6:6" x14ac:dyDescent="0.2">
      <c r="F114">
        <f t="shared" ca="1" si="10"/>
        <v>-0.1170762733915108</v>
      </c>
    </row>
    <row r="115" spans="6:6" x14ac:dyDescent="0.2">
      <c r="F115">
        <f t="shared" ca="1" si="10"/>
        <v>-0.31814909124038898</v>
      </c>
    </row>
    <row r="116" spans="6:6" x14ac:dyDescent="0.2">
      <c r="F116">
        <f t="shared" ca="1" si="10"/>
        <v>-0.66064808805640574</v>
      </c>
    </row>
    <row r="117" spans="6:6" x14ac:dyDescent="0.2">
      <c r="F117">
        <f t="shared" ca="1" si="10"/>
        <v>-5.1884157129926105E-2</v>
      </c>
    </row>
    <row r="118" spans="6:6" x14ac:dyDescent="0.2">
      <c r="F118">
        <f t="shared" ca="1" si="10"/>
        <v>-0.18257467342199241</v>
      </c>
    </row>
    <row r="119" spans="6:6" x14ac:dyDescent="0.2">
      <c r="F119">
        <f t="shared" ca="1" si="10"/>
        <v>-0.26499902343793541</v>
      </c>
    </row>
    <row r="120" spans="6:6" x14ac:dyDescent="0.2">
      <c r="F120">
        <f t="shared" ca="1" si="10"/>
        <v>0.41755450429228652</v>
      </c>
    </row>
    <row r="121" spans="6:6" x14ac:dyDescent="0.2">
      <c r="F121">
        <f t="shared" ca="1" si="10"/>
        <v>-0.22052622344709391</v>
      </c>
    </row>
    <row r="122" spans="6:6" x14ac:dyDescent="0.2">
      <c r="F122">
        <f t="shared" ca="1" si="10"/>
        <v>-0.10612197200911652</v>
      </c>
    </row>
    <row r="123" spans="6:6" x14ac:dyDescent="0.2">
      <c r="F123">
        <f t="shared" ca="1" si="10"/>
        <v>-0.33662042193329406</v>
      </c>
    </row>
    <row r="124" spans="6:6" x14ac:dyDescent="0.2">
      <c r="F124">
        <f t="shared" ca="1" si="10"/>
        <v>-0.24805520677219667</v>
      </c>
    </row>
    <row r="125" spans="6:6" x14ac:dyDescent="0.2">
      <c r="F125">
        <f t="shared" ca="1" si="10"/>
        <v>-0.79427812224696404</v>
      </c>
    </row>
    <row r="126" spans="6:6" x14ac:dyDescent="0.2">
      <c r="F126">
        <f t="shared" ca="1" si="10"/>
        <v>-0.51177078010856503</v>
      </c>
    </row>
    <row r="127" spans="6:6" x14ac:dyDescent="0.2">
      <c r="F127">
        <f t="shared" ca="1" si="10"/>
        <v>-0.37600185564018529</v>
      </c>
    </row>
    <row r="128" spans="6:6" x14ac:dyDescent="0.2">
      <c r="F128">
        <f t="shared" ca="1" si="10"/>
        <v>0.21757279562034673</v>
      </c>
    </row>
    <row r="129" spans="6:6" x14ac:dyDescent="0.2">
      <c r="F129">
        <f t="shared" ca="1" si="10"/>
        <v>-0.30921771016939342</v>
      </c>
    </row>
    <row r="130" spans="6:6" x14ac:dyDescent="0.2">
      <c r="F130">
        <f t="shared" ca="1" si="10"/>
        <v>0.1747725911794886</v>
      </c>
    </row>
    <row r="131" spans="6:6" x14ac:dyDescent="0.2">
      <c r="F131">
        <f t="shared" ca="1" si="10"/>
        <v>-0.12929132155411219</v>
      </c>
    </row>
    <row r="132" spans="6:6" x14ac:dyDescent="0.2">
      <c r="F132">
        <f t="shared" ca="1" si="10"/>
        <v>0.10629325056071645</v>
      </c>
    </row>
    <row r="133" spans="6:6" x14ac:dyDescent="0.2">
      <c r="F133">
        <f t="shared" ca="1" si="10"/>
        <v>0.16480933795563371</v>
      </c>
    </row>
    <row r="134" spans="6:6" x14ac:dyDescent="0.2">
      <c r="F134">
        <f t="shared" ca="1" si="10"/>
        <v>-0.11232587111134494</v>
      </c>
    </row>
    <row r="135" spans="6:6" x14ac:dyDescent="0.2">
      <c r="F135">
        <f t="shared" ca="1" si="10"/>
        <v>-0.21422936478846358</v>
      </c>
    </row>
    <row r="136" spans="6:6" x14ac:dyDescent="0.2">
      <c r="F136">
        <f t="shared" ca="1" si="10"/>
        <v>0.35597523309573637</v>
      </c>
    </row>
    <row r="137" spans="6:6" x14ac:dyDescent="0.2">
      <c r="F137">
        <f t="shared" ca="1" si="10"/>
        <v>-0.74831022320449658</v>
      </c>
    </row>
    <row r="138" spans="6:6" x14ac:dyDescent="0.2">
      <c r="F138">
        <f t="shared" ca="1" si="10"/>
        <v>0.43671815417386733</v>
      </c>
    </row>
    <row r="139" spans="6:6" x14ac:dyDescent="0.2">
      <c r="F139">
        <f t="shared" ca="1" si="10"/>
        <v>0.78401244780455892</v>
      </c>
    </row>
    <row r="140" spans="6:6" x14ac:dyDescent="0.2">
      <c r="F140">
        <f t="shared" ca="1" si="10"/>
        <v>0.95294001725693211</v>
      </c>
    </row>
    <row r="141" spans="6:6" x14ac:dyDescent="0.2">
      <c r="F141">
        <f t="shared" ca="1" si="10"/>
        <v>8.4119791686884979E-2</v>
      </c>
    </row>
    <row r="142" spans="6:6" x14ac:dyDescent="0.2">
      <c r="F142">
        <f t="shared" ca="1" si="10"/>
        <v>8.3874536145106329E-2</v>
      </c>
    </row>
    <row r="143" spans="6:6" x14ac:dyDescent="0.2">
      <c r="F143">
        <f t="shared" ca="1" si="10"/>
        <v>-0.30077523734272216</v>
      </c>
    </row>
    <row r="144" spans="6:6" x14ac:dyDescent="0.2">
      <c r="F144">
        <f t="shared" ca="1" si="10"/>
        <v>0.10781509436654287</v>
      </c>
    </row>
    <row r="145" spans="6:6" x14ac:dyDescent="0.2">
      <c r="F145">
        <f t="shared" ca="1" si="10"/>
        <v>0.5252694942081586</v>
      </c>
    </row>
    <row r="146" spans="6:6" x14ac:dyDescent="0.2">
      <c r="F146">
        <f t="shared" ca="1" si="10"/>
        <v>0.29518526323066008</v>
      </c>
    </row>
    <row r="147" spans="6:6" x14ac:dyDescent="0.2">
      <c r="F147">
        <f t="shared" ca="1" si="10"/>
        <v>7.9958854222712844E-2</v>
      </c>
    </row>
    <row r="148" spans="6:6" x14ac:dyDescent="0.2">
      <c r="F148">
        <f t="shared" ca="1" si="10"/>
        <v>-0.26840403598275114</v>
      </c>
    </row>
    <row r="149" spans="6:6" x14ac:dyDescent="0.2">
      <c r="F149">
        <f t="shared" ca="1" si="10"/>
        <v>0.55330941381156684</v>
      </c>
    </row>
    <row r="150" spans="6:6" x14ac:dyDescent="0.2">
      <c r="F150">
        <f t="shared" ca="1" si="10"/>
        <v>-8.6862647014531072E-2</v>
      </c>
    </row>
    <row r="151" spans="6:6" x14ac:dyDescent="0.2">
      <c r="F151">
        <f t="shared" ca="1" si="10"/>
        <v>-0.12740602604526693</v>
      </c>
    </row>
    <row r="152" spans="6:6" x14ac:dyDescent="0.2">
      <c r="F152">
        <f t="shared" ca="1" si="10"/>
        <v>-0.4095707242379143</v>
      </c>
    </row>
    <row r="153" spans="6:6" x14ac:dyDescent="0.2">
      <c r="F153">
        <f t="shared" ca="1" si="10"/>
        <v>-0.30003722152226298</v>
      </c>
    </row>
    <row r="154" spans="6:6" x14ac:dyDescent="0.2">
      <c r="F154">
        <f t="shared" ca="1" si="10"/>
        <v>0.10055414909278788</v>
      </c>
    </row>
    <row r="155" spans="6:6" x14ac:dyDescent="0.2">
      <c r="F155">
        <f t="shared" ca="1" si="10"/>
        <v>0.13216365770719965</v>
      </c>
    </row>
    <row r="156" spans="6:6" x14ac:dyDescent="0.2">
      <c r="F156">
        <f t="shared" ca="1" si="10"/>
        <v>-0.20299373190491427</v>
      </c>
    </row>
    <row r="157" spans="6:6" x14ac:dyDescent="0.2">
      <c r="F157">
        <f t="shared" ca="1" si="10"/>
        <v>-0.5118802344061677</v>
      </c>
    </row>
    <row r="158" spans="6:6" x14ac:dyDescent="0.2">
      <c r="F158">
        <f t="shared" ca="1" si="10"/>
        <v>0.42700590925674847</v>
      </c>
    </row>
    <row r="159" spans="6:6" x14ac:dyDescent="0.2">
      <c r="F159">
        <f t="shared" ca="1" si="10"/>
        <v>0.2816778760927427</v>
      </c>
    </row>
    <row r="160" spans="6:6" x14ac:dyDescent="0.2">
      <c r="F160">
        <f t="shared" ca="1" si="10"/>
        <v>8.9671716963492548E-2</v>
      </c>
    </row>
    <row r="161" spans="6:6" x14ac:dyDescent="0.2">
      <c r="F161">
        <f t="shared" ca="1" si="10"/>
        <v>0.33564525725476191</v>
      </c>
    </row>
    <row r="162" spans="6:6" x14ac:dyDescent="0.2">
      <c r="F162">
        <f t="shared" ca="1" si="10"/>
        <v>-0.75055593762215</v>
      </c>
    </row>
    <row r="163" spans="6:6" x14ac:dyDescent="0.2">
      <c r="F163">
        <f t="shared" ca="1" si="10"/>
        <v>0.41968079454350748</v>
      </c>
    </row>
    <row r="164" spans="6:6" x14ac:dyDescent="0.2">
      <c r="F164">
        <f t="shared" ca="1" si="10"/>
        <v>-0.12353948953465507</v>
      </c>
    </row>
    <row r="165" spans="6:6" x14ac:dyDescent="0.2">
      <c r="F165">
        <f t="shared" ca="1" si="10"/>
        <v>-0.49372470523988948</v>
      </c>
    </row>
    <row r="166" spans="6:6" x14ac:dyDescent="0.2">
      <c r="F166">
        <f t="shared" ca="1" si="10"/>
        <v>-0.51343144752502234</v>
      </c>
    </row>
    <row r="167" spans="6:6" x14ac:dyDescent="0.2">
      <c r="F167">
        <f t="shared" ca="1" si="10"/>
        <v>-0.4152519446241007</v>
      </c>
    </row>
    <row r="168" spans="6:6" x14ac:dyDescent="0.2">
      <c r="F168">
        <f t="shared" ca="1" si="10"/>
        <v>-0.18173871454747501</v>
      </c>
    </row>
    <row r="169" spans="6:6" x14ac:dyDescent="0.2">
      <c r="F169">
        <f t="shared" ca="1" si="10"/>
        <v>-0.59389523186494064</v>
      </c>
    </row>
    <row r="170" spans="6:6" x14ac:dyDescent="0.2">
      <c r="F170">
        <f t="shared" ca="1" si="10"/>
        <v>7.5878543187326208E-3</v>
      </c>
    </row>
    <row r="171" spans="6:6" x14ac:dyDescent="0.2">
      <c r="F171">
        <f t="shared" ca="1" si="10"/>
        <v>0.41653166708702044</v>
      </c>
    </row>
    <row r="172" spans="6:6" x14ac:dyDescent="0.2">
      <c r="F172">
        <f t="shared" ca="1" si="10"/>
        <v>0.37662853099770111</v>
      </c>
    </row>
    <row r="173" spans="6:6" x14ac:dyDescent="0.2">
      <c r="F173">
        <f t="shared" ca="1" si="10"/>
        <v>4.1620070033005642E-2</v>
      </c>
    </row>
    <row r="174" spans="6:6" x14ac:dyDescent="0.2">
      <c r="F174">
        <f t="shared" ref="F174:F237" ca="1" si="11">_xlfn.NORM.INV(RAND(),0,STDEV($F$70:$AA$70))</f>
        <v>-0.236841620577011</v>
      </c>
    </row>
    <row r="175" spans="6:6" x14ac:dyDescent="0.2">
      <c r="F175">
        <f t="shared" ca="1" si="11"/>
        <v>-0.12169218185460551</v>
      </c>
    </row>
    <row r="176" spans="6:6" x14ac:dyDescent="0.2">
      <c r="F176">
        <f t="shared" ca="1" si="11"/>
        <v>1.0352426795089564</v>
      </c>
    </row>
    <row r="177" spans="6:6" x14ac:dyDescent="0.2">
      <c r="F177">
        <f t="shared" ca="1" si="11"/>
        <v>-5.2979482478480451E-2</v>
      </c>
    </row>
    <row r="178" spans="6:6" x14ac:dyDescent="0.2">
      <c r="F178">
        <f t="shared" ca="1" si="11"/>
        <v>0.19648258840869881</v>
      </c>
    </row>
    <row r="179" spans="6:6" x14ac:dyDescent="0.2">
      <c r="F179">
        <f t="shared" ca="1" si="11"/>
        <v>-0.3831943996555226</v>
      </c>
    </row>
    <row r="180" spans="6:6" x14ac:dyDescent="0.2">
      <c r="F180">
        <f t="shared" ca="1" si="11"/>
        <v>0.65432308880787005</v>
      </c>
    </row>
    <row r="181" spans="6:6" x14ac:dyDescent="0.2">
      <c r="F181">
        <f t="shared" ca="1" si="11"/>
        <v>0.61002037749054838</v>
      </c>
    </row>
    <row r="182" spans="6:6" x14ac:dyDescent="0.2">
      <c r="F182">
        <f t="shared" ca="1" si="11"/>
        <v>-0.19660244083086739</v>
      </c>
    </row>
    <row r="183" spans="6:6" x14ac:dyDescent="0.2">
      <c r="F183">
        <f t="shared" ca="1" si="11"/>
        <v>0.81833468161563239</v>
      </c>
    </row>
    <row r="184" spans="6:6" x14ac:dyDescent="0.2">
      <c r="F184">
        <f t="shared" ca="1" si="11"/>
        <v>0.26059204952858278</v>
      </c>
    </row>
    <row r="185" spans="6:6" x14ac:dyDescent="0.2">
      <c r="F185">
        <f t="shared" ca="1" si="11"/>
        <v>-8.119771100204573E-2</v>
      </c>
    </row>
    <row r="186" spans="6:6" x14ac:dyDescent="0.2">
      <c r="F186">
        <f t="shared" ca="1" si="11"/>
        <v>0.24083068904000826</v>
      </c>
    </row>
    <row r="187" spans="6:6" x14ac:dyDescent="0.2">
      <c r="F187">
        <f t="shared" ca="1" si="11"/>
        <v>0.2541250762735186</v>
      </c>
    </row>
    <row r="188" spans="6:6" x14ac:dyDescent="0.2">
      <c r="F188">
        <f t="shared" ca="1" si="11"/>
        <v>0.5255670500649271</v>
      </c>
    </row>
    <row r="189" spans="6:6" x14ac:dyDescent="0.2">
      <c r="F189">
        <f t="shared" ca="1" si="11"/>
        <v>4.0327956041941775E-2</v>
      </c>
    </row>
    <row r="190" spans="6:6" x14ac:dyDescent="0.2">
      <c r="F190">
        <f t="shared" ca="1" si="11"/>
        <v>0.29089486525357389</v>
      </c>
    </row>
    <row r="191" spans="6:6" x14ac:dyDescent="0.2">
      <c r="F191">
        <f t="shared" ca="1" si="11"/>
        <v>-5.3699652991859706E-2</v>
      </c>
    </row>
    <row r="192" spans="6:6" x14ac:dyDescent="0.2">
      <c r="F192">
        <f t="shared" ca="1" si="11"/>
        <v>-4.9231889736548004E-2</v>
      </c>
    </row>
    <row r="193" spans="6:6" x14ac:dyDescent="0.2">
      <c r="F193">
        <f t="shared" ca="1" si="11"/>
        <v>0.27692832482606539</v>
      </c>
    </row>
    <row r="194" spans="6:6" x14ac:dyDescent="0.2">
      <c r="F194">
        <f t="shared" ca="1" si="11"/>
        <v>0.38497904045740483</v>
      </c>
    </row>
    <row r="195" spans="6:6" x14ac:dyDescent="0.2">
      <c r="F195">
        <f t="shared" ca="1" si="11"/>
        <v>-0.26768416689761665</v>
      </c>
    </row>
    <row r="196" spans="6:6" x14ac:dyDescent="0.2">
      <c r="F196">
        <f t="shared" ca="1" si="11"/>
        <v>-0.54351214048294205</v>
      </c>
    </row>
    <row r="197" spans="6:6" x14ac:dyDescent="0.2">
      <c r="F197">
        <f t="shared" ca="1" si="11"/>
        <v>-0.32935441514623698</v>
      </c>
    </row>
    <row r="198" spans="6:6" x14ac:dyDescent="0.2">
      <c r="F198">
        <f t="shared" ca="1" si="11"/>
        <v>-9.9097799358761604E-2</v>
      </c>
    </row>
    <row r="199" spans="6:6" x14ac:dyDescent="0.2">
      <c r="F199">
        <f t="shared" ca="1" si="11"/>
        <v>-0.23623602873006577</v>
      </c>
    </row>
    <row r="200" spans="6:6" x14ac:dyDescent="0.2">
      <c r="F200">
        <f t="shared" ca="1" si="11"/>
        <v>-0.48141725380320682</v>
      </c>
    </row>
    <row r="201" spans="6:6" x14ac:dyDescent="0.2">
      <c r="F201">
        <f t="shared" ca="1" si="11"/>
        <v>-0.12066773522665811</v>
      </c>
    </row>
    <row r="202" spans="6:6" x14ac:dyDescent="0.2">
      <c r="F202">
        <f t="shared" ca="1" si="11"/>
        <v>-0.60067975716192712</v>
      </c>
    </row>
    <row r="203" spans="6:6" x14ac:dyDescent="0.2">
      <c r="F203">
        <f t="shared" ca="1" si="11"/>
        <v>0.51085819929110954</v>
      </c>
    </row>
    <row r="204" spans="6:6" x14ac:dyDescent="0.2">
      <c r="F204">
        <f t="shared" ca="1" si="11"/>
        <v>9.1841155308572314E-2</v>
      </c>
    </row>
    <row r="205" spans="6:6" x14ac:dyDescent="0.2">
      <c r="F205">
        <f t="shared" ca="1" si="11"/>
        <v>-0.13537411344852029</v>
      </c>
    </row>
    <row r="206" spans="6:6" x14ac:dyDescent="0.2">
      <c r="F206">
        <f t="shared" ca="1" si="11"/>
        <v>-0.58311842651554935</v>
      </c>
    </row>
    <row r="207" spans="6:6" x14ac:dyDescent="0.2">
      <c r="F207">
        <f t="shared" ca="1" si="11"/>
        <v>-0.18122368036709066</v>
      </c>
    </row>
    <row r="208" spans="6:6" x14ac:dyDescent="0.2">
      <c r="F208">
        <f t="shared" ca="1" si="11"/>
        <v>-1.0672757749250865</v>
      </c>
    </row>
    <row r="209" spans="6:6" x14ac:dyDescent="0.2">
      <c r="F209">
        <f t="shared" ca="1" si="11"/>
        <v>-0.32857652671282472</v>
      </c>
    </row>
    <row r="210" spans="6:6" x14ac:dyDescent="0.2">
      <c r="F210">
        <f t="shared" ca="1" si="11"/>
        <v>-0.15266818800617224</v>
      </c>
    </row>
    <row r="211" spans="6:6" x14ac:dyDescent="0.2">
      <c r="F211">
        <f t="shared" ca="1" si="11"/>
        <v>0.12146888450019681</v>
      </c>
    </row>
    <row r="212" spans="6:6" x14ac:dyDescent="0.2">
      <c r="F212">
        <f t="shared" ca="1" si="11"/>
        <v>-0.24592319977295993</v>
      </c>
    </row>
    <row r="213" spans="6:6" x14ac:dyDescent="0.2">
      <c r="F213">
        <f t="shared" ca="1" si="11"/>
        <v>-0.19263235669140993</v>
      </c>
    </row>
    <row r="214" spans="6:6" x14ac:dyDescent="0.2">
      <c r="F214">
        <f t="shared" ca="1" si="11"/>
        <v>3.7595977362746412E-2</v>
      </c>
    </row>
    <row r="215" spans="6:6" x14ac:dyDescent="0.2">
      <c r="F215">
        <f t="shared" ca="1" si="11"/>
        <v>-0.66125752129249071</v>
      </c>
    </row>
    <row r="216" spans="6:6" x14ac:dyDescent="0.2">
      <c r="F216">
        <f t="shared" ca="1" si="11"/>
        <v>-0.49313374586501946</v>
      </c>
    </row>
    <row r="217" spans="6:6" x14ac:dyDescent="0.2">
      <c r="F217">
        <f t="shared" ca="1" si="11"/>
        <v>7.2028484220236208E-2</v>
      </c>
    </row>
    <row r="218" spans="6:6" x14ac:dyDescent="0.2">
      <c r="F218">
        <f t="shared" ca="1" si="11"/>
        <v>0.13158019347291078</v>
      </c>
    </row>
    <row r="219" spans="6:6" x14ac:dyDescent="0.2">
      <c r="F219">
        <f t="shared" ca="1" si="11"/>
        <v>0.13365354527247547</v>
      </c>
    </row>
    <row r="220" spans="6:6" x14ac:dyDescent="0.2">
      <c r="F220">
        <f t="shared" ca="1" si="11"/>
        <v>0.54583675484085259</v>
      </c>
    </row>
    <row r="221" spans="6:6" x14ac:dyDescent="0.2">
      <c r="F221">
        <f t="shared" ca="1" si="11"/>
        <v>0.21192414255622757</v>
      </c>
    </row>
    <row r="222" spans="6:6" x14ac:dyDescent="0.2">
      <c r="F222">
        <f t="shared" ca="1" si="11"/>
        <v>-0.1700883526081978</v>
      </c>
    </row>
    <row r="223" spans="6:6" x14ac:dyDescent="0.2">
      <c r="F223">
        <f t="shared" ca="1" si="11"/>
        <v>-0.16185223997972245</v>
      </c>
    </row>
    <row r="224" spans="6:6" x14ac:dyDescent="0.2">
      <c r="F224">
        <f t="shared" ca="1" si="11"/>
        <v>0.42803800603639081</v>
      </c>
    </row>
    <row r="225" spans="6:6" x14ac:dyDescent="0.2">
      <c r="F225">
        <f t="shared" ca="1" si="11"/>
        <v>0.18697145017603115</v>
      </c>
    </row>
    <row r="226" spans="6:6" x14ac:dyDescent="0.2">
      <c r="F226">
        <f t="shared" ca="1" si="11"/>
        <v>-0.47169059728058588</v>
      </c>
    </row>
    <row r="227" spans="6:6" x14ac:dyDescent="0.2">
      <c r="F227">
        <f t="shared" ca="1" si="11"/>
        <v>-0.4560767062673034</v>
      </c>
    </row>
    <row r="228" spans="6:6" x14ac:dyDescent="0.2">
      <c r="F228">
        <f t="shared" ca="1" si="11"/>
        <v>-6.5946901705552244E-2</v>
      </c>
    </row>
    <row r="229" spans="6:6" x14ac:dyDescent="0.2">
      <c r="F229">
        <f t="shared" ca="1" si="11"/>
        <v>-0.53867840799845335</v>
      </c>
    </row>
    <row r="230" spans="6:6" x14ac:dyDescent="0.2">
      <c r="F230">
        <f t="shared" ca="1" si="11"/>
        <v>-0.43126452143346372</v>
      </c>
    </row>
    <row r="231" spans="6:6" x14ac:dyDescent="0.2">
      <c r="F231">
        <f t="shared" ca="1" si="11"/>
        <v>-0.10187993499434311</v>
      </c>
    </row>
    <row r="232" spans="6:6" x14ac:dyDescent="0.2">
      <c r="F232">
        <f t="shared" ca="1" si="11"/>
        <v>9.9623557416781361E-2</v>
      </c>
    </row>
    <row r="233" spans="6:6" x14ac:dyDescent="0.2">
      <c r="F233">
        <f t="shared" ca="1" si="11"/>
        <v>-0.1330975895490781</v>
      </c>
    </row>
    <row r="234" spans="6:6" x14ac:dyDescent="0.2">
      <c r="F234">
        <f t="shared" ca="1" si="11"/>
        <v>0.34227678938980854</v>
      </c>
    </row>
    <row r="235" spans="6:6" x14ac:dyDescent="0.2">
      <c r="F235">
        <f t="shared" ca="1" si="11"/>
        <v>-0.89015648632947542</v>
      </c>
    </row>
    <row r="236" spans="6:6" x14ac:dyDescent="0.2">
      <c r="F236">
        <f t="shared" ca="1" si="11"/>
        <v>0.20910196394562625</v>
      </c>
    </row>
    <row r="237" spans="6:6" x14ac:dyDescent="0.2">
      <c r="F237">
        <f t="shared" ca="1" si="11"/>
        <v>-6.2488178742766791E-2</v>
      </c>
    </row>
    <row r="238" spans="6:6" x14ac:dyDescent="0.2">
      <c r="F238">
        <f t="shared" ref="F238:F301" ca="1" si="12">_xlfn.NORM.INV(RAND(),0,STDEV($F$70:$AA$70))</f>
        <v>-0.27244512659779618</v>
      </c>
    </row>
    <row r="239" spans="6:6" x14ac:dyDescent="0.2">
      <c r="F239">
        <f t="shared" ca="1" si="12"/>
        <v>0.27536650377813576</v>
      </c>
    </row>
    <row r="240" spans="6:6" x14ac:dyDescent="0.2">
      <c r="F240">
        <f t="shared" ca="1" si="12"/>
        <v>0.12256796453910769</v>
      </c>
    </row>
    <row r="241" spans="6:6" x14ac:dyDescent="0.2">
      <c r="F241">
        <f t="shared" ca="1" si="12"/>
        <v>-7.1103523983319913E-2</v>
      </c>
    </row>
    <row r="242" spans="6:6" x14ac:dyDescent="0.2">
      <c r="F242">
        <f t="shared" ca="1" si="12"/>
        <v>0.98599311114484889</v>
      </c>
    </row>
    <row r="243" spans="6:6" x14ac:dyDescent="0.2">
      <c r="F243">
        <f t="shared" ca="1" si="12"/>
        <v>0.22764400919957711</v>
      </c>
    </row>
    <row r="244" spans="6:6" x14ac:dyDescent="0.2">
      <c r="F244">
        <f t="shared" ca="1" si="12"/>
        <v>0.37775670036908782</v>
      </c>
    </row>
    <row r="245" spans="6:6" x14ac:dyDescent="0.2">
      <c r="F245">
        <f t="shared" ca="1" si="12"/>
        <v>-0.11736248182373459</v>
      </c>
    </row>
    <row r="246" spans="6:6" x14ac:dyDescent="0.2">
      <c r="F246">
        <f t="shared" ca="1" si="12"/>
        <v>-0.31830018048004671</v>
      </c>
    </row>
    <row r="247" spans="6:6" x14ac:dyDescent="0.2">
      <c r="F247">
        <f t="shared" ca="1" si="12"/>
        <v>-0.23889048565200408</v>
      </c>
    </row>
    <row r="248" spans="6:6" x14ac:dyDescent="0.2">
      <c r="F248">
        <f t="shared" ca="1" si="12"/>
        <v>-0.58617228418567391</v>
      </c>
    </row>
    <row r="249" spans="6:6" x14ac:dyDescent="0.2">
      <c r="F249">
        <f t="shared" ca="1" si="12"/>
        <v>-0.37519113641258528</v>
      </c>
    </row>
    <row r="250" spans="6:6" x14ac:dyDescent="0.2">
      <c r="F250">
        <f t="shared" ca="1" si="12"/>
        <v>-0.18253335083448949</v>
      </c>
    </row>
    <row r="251" spans="6:6" x14ac:dyDescent="0.2">
      <c r="F251">
        <f t="shared" ca="1" si="12"/>
        <v>-0.2429508901177268</v>
      </c>
    </row>
    <row r="252" spans="6:6" x14ac:dyDescent="0.2">
      <c r="F252">
        <f t="shared" ca="1" si="12"/>
        <v>0.63765639817688058</v>
      </c>
    </row>
    <row r="253" spans="6:6" x14ac:dyDescent="0.2">
      <c r="F253">
        <f t="shared" ca="1" si="12"/>
        <v>0.47168133438680365</v>
      </c>
    </row>
    <row r="254" spans="6:6" x14ac:dyDescent="0.2">
      <c r="F254">
        <f t="shared" ca="1" si="12"/>
        <v>0.52761169635566196</v>
      </c>
    </row>
    <row r="255" spans="6:6" x14ac:dyDescent="0.2">
      <c r="F255">
        <f t="shared" ca="1" si="12"/>
        <v>-6.9725524993173568E-2</v>
      </c>
    </row>
    <row r="256" spans="6:6" x14ac:dyDescent="0.2">
      <c r="F256">
        <f t="shared" ca="1" si="12"/>
        <v>0.19721294074662565</v>
      </c>
    </row>
    <row r="257" spans="6:6" x14ac:dyDescent="0.2">
      <c r="F257">
        <f t="shared" ca="1" si="12"/>
        <v>-0.86198949665210989</v>
      </c>
    </row>
    <row r="258" spans="6:6" x14ac:dyDescent="0.2">
      <c r="F258">
        <f t="shared" ca="1" si="12"/>
        <v>0.75760048270145042</v>
      </c>
    </row>
    <row r="259" spans="6:6" x14ac:dyDescent="0.2">
      <c r="F259">
        <f t="shared" ca="1" si="12"/>
        <v>-0.33371559890038149</v>
      </c>
    </row>
    <row r="260" spans="6:6" x14ac:dyDescent="0.2">
      <c r="F260">
        <f t="shared" ca="1" si="12"/>
        <v>-0.5656536658735154</v>
      </c>
    </row>
    <row r="261" spans="6:6" x14ac:dyDescent="0.2">
      <c r="F261">
        <f t="shared" ca="1" si="12"/>
        <v>0.19491137898614835</v>
      </c>
    </row>
    <row r="262" spans="6:6" x14ac:dyDescent="0.2">
      <c r="F262">
        <f t="shared" ca="1" si="12"/>
        <v>-0.81393976523815326</v>
      </c>
    </row>
    <row r="263" spans="6:6" x14ac:dyDescent="0.2">
      <c r="F263">
        <f t="shared" ca="1" si="12"/>
        <v>2.8241960571515484E-2</v>
      </c>
    </row>
    <row r="264" spans="6:6" x14ac:dyDescent="0.2">
      <c r="F264">
        <f t="shared" ca="1" si="12"/>
        <v>-4.5742054780661914E-2</v>
      </c>
    </row>
    <row r="265" spans="6:6" x14ac:dyDescent="0.2">
      <c r="F265">
        <f t="shared" ca="1" si="12"/>
        <v>0.20398088421312049</v>
      </c>
    </row>
    <row r="266" spans="6:6" x14ac:dyDescent="0.2">
      <c r="F266">
        <f t="shared" ca="1" si="12"/>
        <v>0.4426098935808519</v>
      </c>
    </row>
    <row r="267" spans="6:6" x14ac:dyDescent="0.2">
      <c r="F267">
        <f t="shared" ca="1" si="12"/>
        <v>0.25819955714848192</v>
      </c>
    </row>
    <row r="268" spans="6:6" x14ac:dyDescent="0.2">
      <c r="F268">
        <f t="shared" ca="1" si="12"/>
        <v>6.4552193457519044E-2</v>
      </c>
    </row>
    <row r="269" spans="6:6" x14ac:dyDescent="0.2">
      <c r="F269">
        <f t="shared" ca="1" si="12"/>
        <v>7.8295064040666593E-2</v>
      </c>
    </row>
    <row r="270" spans="6:6" x14ac:dyDescent="0.2">
      <c r="F270">
        <f t="shared" ca="1" si="12"/>
        <v>0.13977414284339532</v>
      </c>
    </row>
    <row r="271" spans="6:6" x14ac:dyDescent="0.2">
      <c r="F271">
        <f t="shared" ca="1" si="12"/>
        <v>-0.20664049665330614</v>
      </c>
    </row>
    <row r="272" spans="6:6" x14ac:dyDescent="0.2">
      <c r="F272">
        <f t="shared" ca="1" si="12"/>
        <v>-0.23500603488322439</v>
      </c>
    </row>
    <row r="273" spans="6:6" x14ac:dyDescent="0.2">
      <c r="F273">
        <f t="shared" ca="1" si="12"/>
        <v>0.56945751989239757</v>
      </c>
    </row>
    <row r="274" spans="6:6" x14ac:dyDescent="0.2">
      <c r="F274">
        <f t="shared" ca="1" si="12"/>
        <v>-0.89406329271569995</v>
      </c>
    </row>
    <row r="275" spans="6:6" x14ac:dyDescent="0.2">
      <c r="F275">
        <f t="shared" ca="1" si="12"/>
        <v>-0.55091997203478071</v>
      </c>
    </row>
    <row r="276" spans="6:6" x14ac:dyDescent="0.2">
      <c r="F276">
        <f t="shared" ca="1" si="12"/>
        <v>-0.3627273106502184</v>
      </c>
    </row>
    <row r="277" spans="6:6" x14ac:dyDescent="0.2">
      <c r="F277">
        <f t="shared" ca="1" si="12"/>
        <v>-0.42565215933671285</v>
      </c>
    </row>
    <row r="278" spans="6:6" x14ac:dyDescent="0.2">
      <c r="F278">
        <f t="shared" ca="1" si="12"/>
        <v>-0.1611324774989186</v>
      </c>
    </row>
    <row r="279" spans="6:6" x14ac:dyDescent="0.2">
      <c r="F279">
        <f t="shared" ca="1" si="12"/>
        <v>-0.67549780557922745</v>
      </c>
    </row>
    <row r="280" spans="6:6" x14ac:dyDescent="0.2">
      <c r="F280">
        <f t="shared" ca="1" si="12"/>
        <v>0.22186261834159068</v>
      </c>
    </row>
    <row r="281" spans="6:6" x14ac:dyDescent="0.2">
      <c r="F281">
        <f t="shared" ca="1" si="12"/>
        <v>-0.36885118557848012</v>
      </c>
    </row>
    <row r="282" spans="6:6" x14ac:dyDescent="0.2">
      <c r="F282">
        <f t="shared" ca="1" si="12"/>
        <v>0.23404989950859811</v>
      </c>
    </row>
    <row r="283" spans="6:6" x14ac:dyDescent="0.2">
      <c r="F283">
        <f t="shared" ca="1" si="12"/>
        <v>-0.1882334545433263</v>
      </c>
    </row>
    <row r="284" spans="6:6" x14ac:dyDescent="0.2">
      <c r="F284">
        <f t="shared" ca="1" si="12"/>
        <v>0.22465853610706371</v>
      </c>
    </row>
    <row r="285" spans="6:6" x14ac:dyDescent="0.2">
      <c r="F285">
        <f t="shared" ca="1" si="12"/>
        <v>-0.18190550658901719</v>
      </c>
    </row>
    <row r="286" spans="6:6" x14ac:dyDescent="0.2">
      <c r="F286">
        <f t="shared" ca="1" si="12"/>
        <v>-0.50595212081717833</v>
      </c>
    </row>
    <row r="287" spans="6:6" x14ac:dyDescent="0.2">
      <c r="F287">
        <f t="shared" ca="1" si="12"/>
        <v>-0.31530078898747421</v>
      </c>
    </row>
    <row r="288" spans="6:6" x14ac:dyDescent="0.2">
      <c r="F288">
        <f t="shared" ca="1" si="12"/>
        <v>-0.12663082575684725</v>
      </c>
    </row>
    <row r="289" spans="6:6" x14ac:dyDescent="0.2">
      <c r="F289">
        <f t="shared" ca="1" si="12"/>
        <v>-0.10108924947870145</v>
      </c>
    </row>
    <row r="290" spans="6:6" x14ac:dyDescent="0.2">
      <c r="F290">
        <f t="shared" ca="1" si="12"/>
        <v>-0.13595908258576339</v>
      </c>
    </row>
    <row r="291" spans="6:6" x14ac:dyDescent="0.2">
      <c r="F291">
        <f t="shared" ca="1" si="12"/>
        <v>-0.54779807297711336</v>
      </c>
    </row>
    <row r="292" spans="6:6" x14ac:dyDescent="0.2">
      <c r="F292">
        <f t="shared" ca="1" si="12"/>
        <v>-0.12116093037641219</v>
      </c>
    </row>
    <row r="293" spans="6:6" x14ac:dyDescent="0.2">
      <c r="F293">
        <f t="shared" ca="1" si="12"/>
        <v>-0.21986689855748817</v>
      </c>
    </row>
    <row r="294" spans="6:6" x14ac:dyDescent="0.2">
      <c r="F294">
        <f t="shared" ca="1" si="12"/>
        <v>-0.19631419141089274</v>
      </c>
    </row>
    <row r="295" spans="6:6" x14ac:dyDescent="0.2">
      <c r="F295">
        <f t="shared" ca="1" si="12"/>
        <v>0.40377011876940305</v>
      </c>
    </row>
    <row r="296" spans="6:6" x14ac:dyDescent="0.2">
      <c r="F296">
        <f t="shared" ca="1" si="12"/>
        <v>-0.60890348347037782</v>
      </c>
    </row>
    <row r="297" spans="6:6" x14ac:dyDescent="0.2">
      <c r="F297">
        <f t="shared" ca="1" si="12"/>
        <v>-1.405088121026467E-2</v>
      </c>
    </row>
    <row r="298" spans="6:6" x14ac:dyDescent="0.2">
      <c r="F298">
        <f t="shared" ca="1" si="12"/>
        <v>-0.26967846196943968</v>
      </c>
    </row>
    <row r="299" spans="6:6" x14ac:dyDescent="0.2">
      <c r="F299">
        <f t="shared" ca="1" si="12"/>
        <v>0.4093134210069051</v>
      </c>
    </row>
    <row r="300" spans="6:6" x14ac:dyDescent="0.2">
      <c r="F300">
        <f t="shared" ca="1" si="12"/>
        <v>-1.0496257204338857</v>
      </c>
    </row>
    <row r="301" spans="6:6" x14ac:dyDescent="0.2">
      <c r="F301">
        <f t="shared" ca="1" si="12"/>
        <v>-0.93056493774144955</v>
      </c>
    </row>
    <row r="302" spans="6:6" x14ac:dyDescent="0.2">
      <c r="F302">
        <f t="shared" ref="F302:F342" ca="1" si="13">_xlfn.NORM.INV(RAND(),0,STDEV($F$70:$AA$70))</f>
        <v>0.61201552942784898</v>
      </c>
    </row>
    <row r="303" spans="6:6" x14ac:dyDescent="0.2">
      <c r="F303">
        <f t="shared" ca="1" si="13"/>
        <v>0.16207329725416306</v>
      </c>
    </row>
    <row r="304" spans="6:6" x14ac:dyDescent="0.2">
      <c r="F304">
        <f t="shared" ca="1" si="13"/>
        <v>-0.6868250088192841</v>
      </c>
    </row>
    <row r="305" spans="6:6" x14ac:dyDescent="0.2">
      <c r="F305">
        <f t="shared" ca="1" si="13"/>
        <v>0.21924539153311465</v>
      </c>
    </row>
    <row r="306" spans="6:6" x14ac:dyDescent="0.2">
      <c r="F306">
        <f t="shared" ca="1" si="13"/>
        <v>0.64000493979613626</v>
      </c>
    </row>
    <row r="307" spans="6:6" x14ac:dyDescent="0.2">
      <c r="F307">
        <f t="shared" ca="1" si="13"/>
        <v>0.95515076201364391</v>
      </c>
    </row>
    <row r="308" spans="6:6" x14ac:dyDescent="0.2">
      <c r="F308">
        <f t="shared" ca="1" si="13"/>
        <v>-3.0602595882975016E-2</v>
      </c>
    </row>
    <row r="309" spans="6:6" x14ac:dyDescent="0.2">
      <c r="F309">
        <f t="shared" ca="1" si="13"/>
        <v>-0.29552258188798436</v>
      </c>
    </row>
    <row r="310" spans="6:6" x14ac:dyDescent="0.2">
      <c r="F310">
        <f t="shared" ca="1" si="13"/>
        <v>-0.25218666314901073</v>
      </c>
    </row>
    <row r="311" spans="6:6" x14ac:dyDescent="0.2">
      <c r="F311">
        <f t="shared" ca="1" si="13"/>
        <v>7.3334568267168748E-2</v>
      </c>
    </row>
    <row r="312" spans="6:6" x14ac:dyDescent="0.2">
      <c r="F312">
        <f t="shared" ca="1" si="13"/>
        <v>-0.1354051560103289</v>
      </c>
    </row>
    <row r="313" spans="6:6" x14ac:dyDescent="0.2">
      <c r="F313">
        <f t="shared" ca="1" si="13"/>
        <v>-0.3159524628253681</v>
      </c>
    </row>
    <row r="314" spans="6:6" x14ac:dyDescent="0.2">
      <c r="F314">
        <f t="shared" ca="1" si="13"/>
        <v>-0.54393440316254338</v>
      </c>
    </row>
    <row r="315" spans="6:6" x14ac:dyDescent="0.2">
      <c r="F315">
        <f t="shared" ca="1" si="13"/>
        <v>0.61590790970584541</v>
      </c>
    </row>
    <row r="316" spans="6:6" x14ac:dyDescent="0.2">
      <c r="F316">
        <f t="shared" ca="1" si="13"/>
        <v>-0.28579223829701417</v>
      </c>
    </row>
    <row r="317" spans="6:6" x14ac:dyDescent="0.2">
      <c r="F317">
        <f t="shared" ca="1" si="13"/>
        <v>0.23618038451549489</v>
      </c>
    </row>
    <row r="318" spans="6:6" x14ac:dyDescent="0.2">
      <c r="F318">
        <f t="shared" ca="1" si="13"/>
        <v>0.16678425053306339</v>
      </c>
    </row>
    <row r="319" spans="6:6" x14ac:dyDescent="0.2">
      <c r="F319">
        <f t="shared" ca="1" si="13"/>
        <v>-0.13297791476935239</v>
      </c>
    </row>
    <row r="320" spans="6:6" x14ac:dyDescent="0.2">
      <c r="F320">
        <f t="shared" ca="1" si="13"/>
        <v>0.16136315394191816</v>
      </c>
    </row>
    <row r="321" spans="6:6" x14ac:dyDescent="0.2">
      <c r="F321">
        <f t="shared" ca="1" si="13"/>
        <v>-3.9194897205539057E-2</v>
      </c>
    </row>
    <row r="322" spans="6:6" x14ac:dyDescent="0.2">
      <c r="F322">
        <f t="shared" ca="1" si="13"/>
        <v>0.38882657973460799</v>
      </c>
    </row>
    <row r="323" spans="6:6" x14ac:dyDescent="0.2">
      <c r="F323">
        <f t="shared" ca="1" si="13"/>
        <v>-0.37259755926352939</v>
      </c>
    </row>
    <row r="324" spans="6:6" x14ac:dyDescent="0.2">
      <c r="F324">
        <f t="shared" ca="1" si="13"/>
        <v>-0.19496963440480641</v>
      </c>
    </row>
    <row r="325" spans="6:6" x14ac:dyDescent="0.2">
      <c r="F325">
        <f t="shared" ca="1" si="13"/>
        <v>0.28016063794106499</v>
      </c>
    </row>
    <row r="326" spans="6:6" x14ac:dyDescent="0.2">
      <c r="F326">
        <f t="shared" ca="1" si="13"/>
        <v>0.24522825799763887</v>
      </c>
    </row>
    <row r="327" spans="6:6" x14ac:dyDescent="0.2">
      <c r="F327">
        <f t="shared" ca="1" si="13"/>
        <v>-0.39266454600388612</v>
      </c>
    </row>
    <row r="328" spans="6:6" x14ac:dyDescent="0.2">
      <c r="F328">
        <f t="shared" ca="1" si="13"/>
        <v>0.50627274826742841</v>
      </c>
    </row>
    <row r="329" spans="6:6" x14ac:dyDescent="0.2">
      <c r="F329">
        <f t="shared" ca="1" si="13"/>
        <v>8.1101790428610196E-2</v>
      </c>
    </row>
    <row r="330" spans="6:6" x14ac:dyDescent="0.2">
      <c r="F330">
        <f t="shared" ca="1" si="13"/>
        <v>6.3114899047284692E-2</v>
      </c>
    </row>
    <row r="331" spans="6:6" x14ac:dyDescent="0.2">
      <c r="F331">
        <f t="shared" ca="1" si="13"/>
        <v>-0.17578861901419002</v>
      </c>
    </row>
    <row r="332" spans="6:6" x14ac:dyDescent="0.2">
      <c r="F332">
        <f t="shared" ca="1" si="13"/>
        <v>-5.0098581210855017E-2</v>
      </c>
    </row>
    <row r="333" spans="6:6" x14ac:dyDescent="0.2">
      <c r="F333">
        <f t="shared" ca="1" si="13"/>
        <v>0.25068007548451432</v>
      </c>
    </row>
    <row r="334" spans="6:6" x14ac:dyDescent="0.2">
      <c r="F334">
        <f t="shared" ca="1" si="13"/>
        <v>0.24361461081542132</v>
      </c>
    </row>
    <row r="335" spans="6:6" x14ac:dyDescent="0.2">
      <c r="F335">
        <f t="shared" ca="1" si="13"/>
        <v>0.19613389765762257</v>
      </c>
    </row>
    <row r="336" spans="6:6" x14ac:dyDescent="0.2">
      <c r="F336">
        <f t="shared" ca="1" si="13"/>
        <v>-0.54863739606006146</v>
      </c>
    </row>
    <row r="337" spans="6:6" x14ac:dyDescent="0.2">
      <c r="F337">
        <f t="shared" ca="1" si="13"/>
        <v>-0.18064647261058372</v>
      </c>
    </row>
    <row r="338" spans="6:6" x14ac:dyDescent="0.2">
      <c r="F338">
        <f t="shared" ca="1" si="13"/>
        <v>-0.12723689875863234</v>
      </c>
    </row>
    <row r="339" spans="6:6" x14ac:dyDescent="0.2">
      <c r="F339">
        <f t="shared" ca="1" si="13"/>
        <v>-0.3118000350723617</v>
      </c>
    </row>
    <row r="340" spans="6:6" x14ac:dyDescent="0.2">
      <c r="F340">
        <f t="shared" ca="1" si="13"/>
        <v>0.45146467353021119</v>
      </c>
    </row>
    <row r="341" spans="6:6" x14ac:dyDescent="0.2">
      <c r="F341">
        <f t="shared" ca="1" si="13"/>
        <v>-0.10130192972193919</v>
      </c>
    </row>
    <row r="342" spans="6:6" x14ac:dyDescent="0.2">
      <c r="F342">
        <f t="shared" ca="1" si="13"/>
        <v>7.8753621505216365E-2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3E638-C329-A04E-A251-98612556FE94}">
  <dimension ref="A1:AG346"/>
  <sheetViews>
    <sheetView topLeftCell="I1" workbookViewId="0">
      <pane ySplit="1" topLeftCell="A2" activePane="bottomLeft" state="frozen"/>
      <selection pane="bottomLeft" sqref="A1:AA34"/>
    </sheetView>
  </sheetViews>
  <sheetFormatPr baseColWidth="10" defaultRowHeight="16" x14ac:dyDescent="0.2"/>
  <cols>
    <col min="1" max="1" width="19.6640625" bestFit="1" customWidth="1"/>
    <col min="2" max="2" width="11.33203125" bestFit="1" customWidth="1"/>
    <col min="3" max="3" width="11.6640625" bestFit="1" customWidth="1"/>
    <col min="6" max="7" width="10.83203125" customWidth="1"/>
    <col min="8" max="8" width="12.1640625" bestFit="1" customWidth="1"/>
    <col min="29" max="29" width="12.1640625" bestFit="1" customWidth="1"/>
  </cols>
  <sheetData>
    <row r="1" spans="1:33" s="3" customFormat="1" ht="19" x14ac:dyDescent="0.25">
      <c r="A1" s="3" t="s">
        <v>0</v>
      </c>
      <c r="B1" s="3" t="s">
        <v>1</v>
      </c>
      <c r="C1" s="3" t="s">
        <v>2</v>
      </c>
      <c r="F1" s="4">
        <v>1</v>
      </c>
      <c r="G1" s="4">
        <v>2</v>
      </c>
      <c r="H1" s="4">
        <v>3</v>
      </c>
      <c r="I1" s="4">
        <v>4</v>
      </c>
      <c r="J1" s="4">
        <v>5</v>
      </c>
      <c r="K1" s="4">
        <v>6</v>
      </c>
      <c r="L1" s="4">
        <v>7</v>
      </c>
      <c r="M1" s="4">
        <v>8</v>
      </c>
      <c r="N1" s="4">
        <v>9</v>
      </c>
      <c r="O1" s="4">
        <v>10</v>
      </c>
      <c r="P1" s="4">
        <v>11</v>
      </c>
      <c r="Q1" s="4">
        <v>12</v>
      </c>
      <c r="R1" s="4">
        <v>13</v>
      </c>
      <c r="S1" s="4">
        <v>14</v>
      </c>
      <c r="T1" s="4">
        <v>15</v>
      </c>
      <c r="U1" s="4">
        <v>16</v>
      </c>
      <c r="V1" s="4">
        <v>17</v>
      </c>
      <c r="W1" s="4">
        <v>18</v>
      </c>
      <c r="X1" s="4">
        <v>19</v>
      </c>
      <c r="Y1" s="4">
        <v>20</v>
      </c>
      <c r="Z1" s="4">
        <v>21</v>
      </c>
      <c r="AA1" s="4">
        <v>22</v>
      </c>
      <c r="AB1" s="3" t="s">
        <v>55</v>
      </c>
      <c r="AC1" s="3" t="s">
        <v>56</v>
      </c>
    </row>
    <row r="2" spans="1:33" x14ac:dyDescent="0.2">
      <c r="A2" t="s">
        <v>3</v>
      </c>
      <c r="B2">
        <v>15</v>
      </c>
      <c r="C2">
        <v>16</v>
      </c>
      <c r="D2" t="b">
        <f>C2=B2</f>
        <v>0</v>
      </c>
      <c r="I2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  <c r="S2" t="s">
        <v>43</v>
      </c>
      <c r="T2" t="s">
        <v>53</v>
      </c>
      <c r="U2" t="s">
        <v>53</v>
      </c>
      <c r="V2" t="s">
        <v>53</v>
      </c>
      <c r="W2" t="s">
        <v>53</v>
      </c>
      <c r="Y2" t="s">
        <v>53</v>
      </c>
      <c r="Z2" t="s">
        <v>53</v>
      </c>
      <c r="AB2" cm="1">
        <f t="array" ref="AB2">SUM(IF("X" = F2:AA2, 1, 0))</f>
        <v>15</v>
      </c>
      <c r="AC2" cm="1">
        <f t="array" ref="AC2">SUM(IF("?" = F2:AA2, 1, 0)) + AB2</f>
        <v>16</v>
      </c>
      <c r="AF2" t="b">
        <f>AB2=B2</f>
        <v>1</v>
      </c>
      <c r="AG2" t="b">
        <f>AC2=C2</f>
        <v>1</v>
      </c>
    </row>
    <row r="3" spans="1:33" x14ac:dyDescent="0.2">
      <c r="A3" t="s">
        <v>4</v>
      </c>
      <c r="B3">
        <v>10</v>
      </c>
      <c r="C3">
        <v>12</v>
      </c>
      <c r="D3" t="b">
        <f t="shared" ref="D3:D34" si="0">C3=B3</f>
        <v>0</v>
      </c>
      <c r="G3" t="s">
        <v>53</v>
      </c>
      <c r="J3" t="s">
        <v>53</v>
      </c>
      <c r="N3" t="s">
        <v>53</v>
      </c>
      <c r="Q3" t="s">
        <v>53</v>
      </c>
      <c r="R3" t="s">
        <v>53</v>
      </c>
      <c r="S3" t="s">
        <v>43</v>
      </c>
      <c r="T3" t="s">
        <v>53</v>
      </c>
      <c r="U3" t="s">
        <v>53</v>
      </c>
      <c r="V3" t="s">
        <v>53</v>
      </c>
      <c r="W3" t="s">
        <v>53</v>
      </c>
      <c r="X3" t="s">
        <v>53</v>
      </c>
      <c r="AA3" t="s">
        <v>43</v>
      </c>
      <c r="AB3" cm="1">
        <f t="array" ref="AB3">SUM(IF("X" = F3:AA3, 1, 0))</f>
        <v>10</v>
      </c>
      <c r="AC3" cm="1">
        <f t="array" ref="AC3">SUM(IF("?" = F3:AA3, 1, 0)) + AB3</f>
        <v>12</v>
      </c>
      <c r="AF3" t="b">
        <f t="shared" ref="AF3:AF34" si="1">AB3=B3</f>
        <v>1</v>
      </c>
      <c r="AG3" t="b">
        <f t="shared" ref="AG3:AG34" si="2">AC3=C3</f>
        <v>1</v>
      </c>
    </row>
    <row r="4" spans="1:33" x14ac:dyDescent="0.2">
      <c r="A4" t="s">
        <v>5</v>
      </c>
      <c r="B4">
        <v>13</v>
      </c>
      <c r="C4">
        <v>13</v>
      </c>
      <c r="D4" t="b">
        <f t="shared" si="0"/>
        <v>1</v>
      </c>
      <c r="F4" t="s">
        <v>53</v>
      </c>
      <c r="G4" t="s">
        <v>53</v>
      </c>
      <c r="O4" t="s">
        <v>53</v>
      </c>
      <c r="P4" t="s">
        <v>53</v>
      </c>
      <c r="Q4" t="s">
        <v>53</v>
      </c>
      <c r="R4" t="s">
        <v>53</v>
      </c>
      <c r="T4" t="s">
        <v>53</v>
      </c>
      <c r="U4" t="s">
        <v>53</v>
      </c>
      <c r="V4" t="s">
        <v>53</v>
      </c>
      <c r="W4" t="s">
        <v>53</v>
      </c>
      <c r="X4" t="s">
        <v>53</v>
      </c>
      <c r="Y4" t="s">
        <v>53</v>
      </c>
      <c r="AA4" t="s">
        <v>53</v>
      </c>
      <c r="AB4" cm="1">
        <f t="array" ref="AB4">SUM(IF("X" = F4:AA4, 1, 0))</f>
        <v>13</v>
      </c>
      <c r="AC4" cm="1">
        <f t="array" ref="AC4">SUM(IF("?" = F4:AA4, 1, 0)) + AB4</f>
        <v>13</v>
      </c>
      <c r="AF4" t="b">
        <f t="shared" si="1"/>
        <v>1</v>
      </c>
      <c r="AG4" t="b">
        <f t="shared" si="2"/>
        <v>1</v>
      </c>
    </row>
    <row r="5" spans="1:33" x14ac:dyDescent="0.2">
      <c r="A5" s="8" t="s">
        <v>6</v>
      </c>
      <c r="B5">
        <v>19</v>
      </c>
      <c r="C5">
        <v>19</v>
      </c>
      <c r="D5" t="b">
        <f t="shared" si="0"/>
        <v>1</v>
      </c>
      <c r="F5" t="s">
        <v>53</v>
      </c>
      <c r="G5" t="s">
        <v>53</v>
      </c>
      <c r="H5" t="s">
        <v>53</v>
      </c>
      <c r="I5" t="s">
        <v>53</v>
      </c>
      <c r="J5" t="s">
        <v>53</v>
      </c>
      <c r="K5" t="s">
        <v>53</v>
      </c>
      <c r="L5" t="s">
        <v>53</v>
      </c>
      <c r="M5" t="s">
        <v>53</v>
      </c>
      <c r="O5" t="s">
        <v>53</v>
      </c>
      <c r="P5" t="s">
        <v>53</v>
      </c>
      <c r="Q5" t="s">
        <v>53</v>
      </c>
      <c r="R5" t="s">
        <v>53</v>
      </c>
      <c r="S5" t="s">
        <v>53</v>
      </c>
      <c r="T5" t="s">
        <v>53</v>
      </c>
      <c r="U5" t="s">
        <v>53</v>
      </c>
      <c r="W5" t="s">
        <v>53</v>
      </c>
      <c r="X5" t="s">
        <v>53</v>
      </c>
      <c r="Y5" t="s">
        <v>53</v>
      </c>
      <c r="AA5" t="s">
        <v>53</v>
      </c>
      <c r="AB5" cm="1">
        <f t="array" ref="AB5">SUM(IF("X" = F5:AA5, 1, 0))</f>
        <v>19</v>
      </c>
      <c r="AC5" cm="1">
        <f t="array" ref="AC5">SUM(IF("?" = F5:AA5, 1, 0)) + AB5</f>
        <v>19</v>
      </c>
      <c r="AF5" t="b">
        <f t="shared" si="1"/>
        <v>1</v>
      </c>
      <c r="AG5" t="b">
        <f t="shared" si="2"/>
        <v>1</v>
      </c>
    </row>
    <row r="6" spans="1:33" x14ac:dyDescent="0.2">
      <c r="A6" t="s">
        <v>7</v>
      </c>
      <c r="B6">
        <v>12</v>
      </c>
      <c r="C6">
        <v>13</v>
      </c>
      <c r="D6" t="b">
        <f t="shared" si="0"/>
        <v>0</v>
      </c>
      <c r="G6" t="s">
        <v>53</v>
      </c>
      <c r="I6" t="s">
        <v>53</v>
      </c>
      <c r="J6" t="s">
        <v>53</v>
      </c>
      <c r="K6" t="s">
        <v>53</v>
      </c>
      <c r="L6" t="s">
        <v>53</v>
      </c>
      <c r="M6" t="s">
        <v>53</v>
      </c>
      <c r="O6" t="s">
        <v>43</v>
      </c>
      <c r="T6" t="s">
        <v>53</v>
      </c>
      <c r="W6" t="s">
        <v>53</v>
      </c>
      <c r="X6" t="s">
        <v>53</v>
      </c>
      <c r="Y6" t="s">
        <v>53</v>
      </c>
      <c r="Z6" t="s">
        <v>53</v>
      </c>
      <c r="AA6" t="s">
        <v>53</v>
      </c>
      <c r="AB6" cm="1">
        <f t="array" ref="AB6">SUM(IF("X" = F6:AA6, 1, 0))</f>
        <v>12</v>
      </c>
      <c r="AC6" cm="1">
        <f t="array" ref="AC6">SUM(IF("?" = F6:AA6, 1, 0)) + AB6</f>
        <v>13</v>
      </c>
      <c r="AF6" t="b">
        <f t="shared" si="1"/>
        <v>1</v>
      </c>
      <c r="AG6" t="b">
        <f t="shared" si="2"/>
        <v>1</v>
      </c>
    </row>
    <row r="7" spans="1:33" x14ac:dyDescent="0.2">
      <c r="A7" t="s">
        <v>8</v>
      </c>
      <c r="B7">
        <v>16</v>
      </c>
      <c r="C7">
        <v>16</v>
      </c>
      <c r="D7" t="b">
        <f t="shared" si="0"/>
        <v>1</v>
      </c>
      <c r="G7" t="s">
        <v>53</v>
      </c>
      <c r="I7" t="s">
        <v>53</v>
      </c>
      <c r="J7" t="s">
        <v>53</v>
      </c>
      <c r="K7" t="s">
        <v>53</v>
      </c>
      <c r="L7" t="s">
        <v>53</v>
      </c>
      <c r="M7" t="s">
        <v>53</v>
      </c>
      <c r="N7" t="s">
        <v>53</v>
      </c>
      <c r="O7" t="s">
        <v>53</v>
      </c>
      <c r="P7" t="s">
        <v>53</v>
      </c>
      <c r="R7" t="s">
        <v>53</v>
      </c>
      <c r="T7" t="s">
        <v>53</v>
      </c>
      <c r="U7" t="s">
        <v>53</v>
      </c>
      <c r="V7" t="s">
        <v>53</v>
      </c>
      <c r="W7" t="s">
        <v>53</v>
      </c>
      <c r="Y7" t="s">
        <v>53</v>
      </c>
      <c r="AA7" t="s">
        <v>53</v>
      </c>
      <c r="AB7" cm="1">
        <f t="array" ref="AB7">SUM(IF("X" = F7:AA7, 1, 0))</f>
        <v>16</v>
      </c>
      <c r="AC7" cm="1">
        <f t="array" ref="AC7">SUM(IF("?" = F7:AA7, 1, 0)) + AB7</f>
        <v>16</v>
      </c>
      <c r="AF7" t="b">
        <f t="shared" si="1"/>
        <v>1</v>
      </c>
      <c r="AG7" t="b">
        <f t="shared" si="2"/>
        <v>1</v>
      </c>
    </row>
    <row r="8" spans="1:33" x14ac:dyDescent="0.2">
      <c r="A8" t="s">
        <v>9</v>
      </c>
      <c r="B8">
        <v>12</v>
      </c>
      <c r="C8">
        <v>14</v>
      </c>
      <c r="D8" t="b">
        <f t="shared" si="0"/>
        <v>0</v>
      </c>
      <c r="F8" t="s">
        <v>53</v>
      </c>
      <c r="G8" t="s">
        <v>53</v>
      </c>
      <c r="H8" t="s">
        <v>53</v>
      </c>
      <c r="M8" t="s">
        <v>53</v>
      </c>
      <c r="N8" t="s">
        <v>53</v>
      </c>
      <c r="O8" t="s">
        <v>53</v>
      </c>
      <c r="Q8" t="s">
        <v>53</v>
      </c>
      <c r="R8" t="s">
        <v>53</v>
      </c>
      <c r="S8" t="s">
        <v>43</v>
      </c>
      <c r="T8" t="s">
        <v>53</v>
      </c>
      <c r="U8" t="s">
        <v>43</v>
      </c>
      <c r="V8" t="s">
        <v>53</v>
      </c>
      <c r="Y8" t="s">
        <v>53</v>
      </c>
      <c r="AA8" t="s">
        <v>53</v>
      </c>
      <c r="AB8" cm="1">
        <f t="array" ref="AB8">SUM(IF("X" = F8:AA8, 1, 0))</f>
        <v>12</v>
      </c>
      <c r="AC8" cm="1">
        <f t="array" ref="AC8">SUM(IF("?" = F8:AA8, 1, 0)) + AB8</f>
        <v>14</v>
      </c>
      <c r="AF8" t="b">
        <f t="shared" si="1"/>
        <v>1</v>
      </c>
      <c r="AG8" t="b">
        <f t="shared" si="2"/>
        <v>1</v>
      </c>
    </row>
    <row r="9" spans="1:33" x14ac:dyDescent="0.2">
      <c r="A9" s="8" t="s">
        <v>10</v>
      </c>
      <c r="B9">
        <v>17</v>
      </c>
      <c r="C9">
        <v>18</v>
      </c>
      <c r="D9" t="b">
        <f t="shared" si="0"/>
        <v>0</v>
      </c>
      <c r="F9" t="s">
        <v>53</v>
      </c>
      <c r="G9" t="s">
        <v>53</v>
      </c>
      <c r="H9" t="s">
        <v>53</v>
      </c>
      <c r="I9" t="s">
        <v>53</v>
      </c>
      <c r="J9" t="s">
        <v>53</v>
      </c>
      <c r="K9" t="s">
        <v>53</v>
      </c>
      <c r="M9" t="s">
        <v>53</v>
      </c>
      <c r="N9" t="s">
        <v>53</v>
      </c>
      <c r="O9" t="s">
        <v>43</v>
      </c>
      <c r="P9" t="s">
        <v>53</v>
      </c>
      <c r="Q9" t="s">
        <v>53</v>
      </c>
      <c r="R9" t="s">
        <v>53</v>
      </c>
      <c r="S9" t="s">
        <v>53</v>
      </c>
      <c r="T9" t="s">
        <v>53</v>
      </c>
      <c r="U9" t="s">
        <v>53</v>
      </c>
      <c r="W9" t="s">
        <v>53</v>
      </c>
      <c r="Z9" t="s">
        <v>53</v>
      </c>
      <c r="AA9" t="s">
        <v>53</v>
      </c>
      <c r="AB9" cm="1">
        <f t="array" ref="AB9">SUM(IF("X" = F9:AA9, 1, 0))</f>
        <v>17</v>
      </c>
      <c r="AC9" cm="1">
        <f t="array" ref="AC9">SUM(IF("?" = F9:AA9, 1, 0)) + AB9</f>
        <v>18</v>
      </c>
      <c r="AF9" t="b">
        <f t="shared" si="1"/>
        <v>1</v>
      </c>
      <c r="AG9" t="b">
        <f t="shared" si="2"/>
        <v>1</v>
      </c>
    </row>
    <row r="10" spans="1:33" x14ac:dyDescent="0.2">
      <c r="A10" s="9" t="s">
        <v>54</v>
      </c>
      <c r="B10">
        <v>16</v>
      </c>
      <c r="C10">
        <v>19</v>
      </c>
      <c r="D10" t="b">
        <f t="shared" si="0"/>
        <v>0</v>
      </c>
      <c r="F10" t="s">
        <v>53</v>
      </c>
      <c r="G10" t="s">
        <v>53</v>
      </c>
      <c r="H10" t="s">
        <v>53</v>
      </c>
      <c r="J10" t="s">
        <v>53</v>
      </c>
      <c r="K10" t="s">
        <v>53</v>
      </c>
      <c r="L10" t="s">
        <v>53</v>
      </c>
      <c r="M10" t="s">
        <v>53</v>
      </c>
      <c r="N10" t="s">
        <v>53</v>
      </c>
      <c r="O10" t="s">
        <v>43</v>
      </c>
      <c r="P10" t="s">
        <v>53</v>
      </c>
      <c r="Q10" t="s">
        <v>53</v>
      </c>
      <c r="R10" t="s">
        <v>53</v>
      </c>
      <c r="S10" t="s">
        <v>43</v>
      </c>
      <c r="T10" t="s">
        <v>53</v>
      </c>
      <c r="U10" t="s">
        <v>53</v>
      </c>
      <c r="W10" t="s">
        <v>53</v>
      </c>
      <c r="X10" t="s">
        <v>53</v>
      </c>
      <c r="Y10" t="s">
        <v>53</v>
      </c>
      <c r="AA10" t="s">
        <v>43</v>
      </c>
      <c r="AB10" cm="1">
        <f t="array" ref="AB10">SUM(IF("X" = F10:AA10, 1, 0))</f>
        <v>16</v>
      </c>
      <c r="AC10" cm="1">
        <f t="array" ref="AC10">SUM(IF("?" = F10:AA10, 1, 0)) + AB10</f>
        <v>19</v>
      </c>
      <c r="AF10" t="b">
        <f t="shared" si="1"/>
        <v>1</v>
      </c>
      <c r="AG10" t="b">
        <f t="shared" si="2"/>
        <v>1</v>
      </c>
    </row>
    <row r="11" spans="1:33" x14ac:dyDescent="0.2">
      <c r="A11" t="s">
        <v>11</v>
      </c>
      <c r="B11">
        <v>14</v>
      </c>
      <c r="C11">
        <v>15</v>
      </c>
      <c r="D11" t="b">
        <f t="shared" si="0"/>
        <v>0</v>
      </c>
      <c r="F11" t="s">
        <v>53</v>
      </c>
      <c r="G11" t="s">
        <v>53</v>
      </c>
      <c r="H11" t="s">
        <v>53</v>
      </c>
      <c r="J11" t="s">
        <v>53</v>
      </c>
      <c r="K11" t="s">
        <v>53</v>
      </c>
      <c r="M11" t="s">
        <v>53</v>
      </c>
      <c r="Q11" t="s">
        <v>53</v>
      </c>
      <c r="R11" t="s">
        <v>53</v>
      </c>
      <c r="S11" t="s">
        <v>43</v>
      </c>
      <c r="T11" t="s">
        <v>53</v>
      </c>
      <c r="U11" t="s">
        <v>53</v>
      </c>
      <c r="W11" t="s">
        <v>53</v>
      </c>
      <c r="X11" t="s">
        <v>53</v>
      </c>
      <c r="Z11" t="s">
        <v>53</v>
      </c>
      <c r="AA11" t="s">
        <v>53</v>
      </c>
      <c r="AB11" cm="1">
        <f t="array" ref="AB11">SUM(IF("X" = F11:AA11, 1, 0))</f>
        <v>14</v>
      </c>
      <c r="AC11" cm="1">
        <f t="array" ref="AC11">SUM(IF("?" = F11:AA11, 1, 0)) + AB11</f>
        <v>15</v>
      </c>
      <c r="AF11" t="b">
        <f t="shared" si="1"/>
        <v>1</v>
      </c>
      <c r="AG11" t="b">
        <f t="shared" si="2"/>
        <v>1</v>
      </c>
    </row>
    <row r="12" spans="1:33" x14ac:dyDescent="0.2">
      <c r="A12" s="9" t="s">
        <v>12</v>
      </c>
      <c r="B12">
        <v>15</v>
      </c>
      <c r="C12">
        <v>17</v>
      </c>
      <c r="D12" t="b">
        <f t="shared" si="0"/>
        <v>0</v>
      </c>
      <c r="F12" t="s">
        <v>53</v>
      </c>
      <c r="G12" t="s">
        <v>53</v>
      </c>
      <c r="H12" t="s">
        <v>53</v>
      </c>
      <c r="J12" t="s">
        <v>53</v>
      </c>
      <c r="K12" t="s">
        <v>53</v>
      </c>
      <c r="L12" t="s">
        <v>53</v>
      </c>
      <c r="M12" t="s">
        <v>53</v>
      </c>
      <c r="N12" t="s">
        <v>53</v>
      </c>
      <c r="O12" t="s">
        <v>53</v>
      </c>
      <c r="Q12" t="s">
        <v>53</v>
      </c>
      <c r="R12" t="s">
        <v>53</v>
      </c>
      <c r="S12" t="s">
        <v>43</v>
      </c>
      <c r="T12" t="s">
        <v>53</v>
      </c>
      <c r="U12" t="s">
        <v>53</v>
      </c>
      <c r="V12" t="s">
        <v>53</v>
      </c>
      <c r="W12" t="s">
        <v>53</v>
      </c>
      <c r="AA12" t="s">
        <v>43</v>
      </c>
      <c r="AB12" cm="1">
        <f t="array" ref="AB12">SUM(IF("X" = F12:AA12, 1, 0))</f>
        <v>15</v>
      </c>
      <c r="AC12" cm="1">
        <f t="array" ref="AC12">SUM(IF("?" = F12:AA12, 1, 0)) + AB12</f>
        <v>17</v>
      </c>
      <c r="AF12" t="b">
        <f t="shared" si="1"/>
        <v>1</v>
      </c>
      <c r="AG12" t="b">
        <f t="shared" si="2"/>
        <v>1</v>
      </c>
    </row>
    <row r="13" spans="1:33" x14ac:dyDescent="0.2">
      <c r="A13" s="9" t="s">
        <v>13</v>
      </c>
      <c r="B13">
        <v>13</v>
      </c>
      <c r="C13">
        <v>17</v>
      </c>
      <c r="D13" t="b">
        <f t="shared" si="0"/>
        <v>0</v>
      </c>
      <c r="F13" t="s">
        <v>53</v>
      </c>
      <c r="G13" t="s">
        <v>53</v>
      </c>
      <c r="I13" t="s">
        <v>53</v>
      </c>
      <c r="J13" t="s">
        <v>43</v>
      </c>
      <c r="K13" t="s">
        <v>53</v>
      </c>
      <c r="L13" t="s">
        <v>53</v>
      </c>
      <c r="M13" t="s">
        <v>53</v>
      </c>
      <c r="N13" t="s">
        <v>53</v>
      </c>
      <c r="P13" t="s">
        <v>53</v>
      </c>
      <c r="Q13" t="s">
        <v>53</v>
      </c>
      <c r="R13" t="s">
        <v>53</v>
      </c>
      <c r="S13" t="s">
        <v>43</v>
      </c>
      <c r="T13" t="s">
        <v>53</v>
      </c>
      <c r="U13" t="s">
        <v>53</v>
      </c>
      <c r="W13" t="s">
        <v>53</v>
      </c>
      <c r="Z13" t="s">
        <v>43</v>
      </c>
      <c r="AA13" t="s">
        <v>43</v>
      </c>
      <c r="AB13" cm="1">
        <f t="array" ref="AB13">SUM(IF("X" = F13:AA13, 1, 0))</f>
        <v>13</v>
      </c>
      <c r="AC13" cm="1">
        <f t="array" ref="AC13">SUM(IF("?" = F13:AA13, 1, 0)) + AB13</f>
        <v>17</v>
      </c>
      <c r="AF13" t="b">
        <f t="shared" si="1"/>
        <v>1</v>
      </c>
      <c r="AG13" t="b">
        <f t="shared" si="2"/>
        <v>1</v>
      </c>
    </row>
    <row r="14" spans="1:33" x14ac:dyDescent="0.2">
      <c r="A14" t="s">
        <v>57</v>
      </c>
      <c r="B14">
        <v>13</v>
      </c>
      <c r="C14">
        <v>15</v>
      </c>
      <c r="D14" t="b">
        <f t="shared" si="0"/>
        <v>0</v>
      </c>
      <c r="F14" t="s">
        <v>53</v>
      </c>
      <c r="G14" t="s">
        <v>53</v>
      </c>
      <c r="J14" t="s">
        <v>53</v>
      </c>
      <c r="M14" t="s">
        <v>53</v>
      </c>
      <c r="N14" t="s">
        <v>53</v>
      </c>
      <c r="O14" t="s">
        <v>53</v>
      </c>
      <c r="P14" t="s">
        <v>53</v>
      </c>
      <c r="Q14" t="s">
        <v>53</v>
      </c>
      <c r="R14" t="s">
        <v>53</v>
      </c>
      <c r="S14" t="s">
        <v>43</v>
      </c>
      <c r="T14" t="s">
        <v>53</v>
      </c>
      <c r="U14" t="s">
        <v>53</v>
      </c>
      <c r="V14" t="s">
        <v>53</v>
      </c>
      <c r="Y14" t="s">
        <v>53</v>
      </c>
      <c r="AA14" t="s">
        <v>43</v>
      </c>
      <c r="AB14" cm="1">
        <f t="array" ref="AB14">SUM(IF("X" = F14:AA14, 1, 0))</f>
        <v>13</v>
      </c>
      <c r="AC14" cm="1">
        <f t="array" ref="AC14">SUM(IF("?" = F14:AA14, 1, 0)) + AB14</f>
        <v>15</v>
      </c>
      <c r="AF14" t="b">
        <f t="shared" si="1"/>
        <v>1</v>
      </c>
      <c r="AG14" t="b">
        <f t="shared" si="2"/>
        <v>1</v>
      </c>
    </row>
    <row r="15" spans="1:33" x14ac:dyDescent="0.2">
      <c r="A15" t="s">
        <v>14</v>
      </c>
      <c r="B15">
        <v>13</v>
      </c>
      <c r="C15">
        <v>15</v>
      </c>
      <c r="D15" t="b">
        <f t="shared" si="0"/>
        <v>0</v>
      </c>
      <c r="F15" t="s">
        <v>53</v>
      </c>
      <c r="G15" t="s">
        <v>53</v>
      </c>
      <c r="J15" t="s">
        <v>53</v>
      </c>
      <c r="K15" t="s">
        <v>53</v>
      </c>
      <c r="N15" t="s">
        <v>53</v>
      </c>
      <c r="O15" t="s">
        <v>43</v>
      </c>
      <c r="P15" t="s">
        <v>53</v>
      </c>
      <c r="Q15" t="s">
        <v>53</v>
      </c>
      <c r="R15" t="s">
        <v>53</v>
      </c>
      <c r="T15" t="s">
        <v>53</v>
      </c>
      <c r="U15" t="s">
        <v>53</v>
      </c>
      <c r="W15" t="s">
        <v>53</v>
      </c>
      <c r="X15" t="s">
        <v>53</v>
      </c>
      <c r="Y15" t="s">
        <v>53</v>
      </c>
      <c r="AA15" t="s">
        <v>43</v>
      </c>
      <c r="AB15" cm="1">
        <f t="array" ref="AB15">SUM(IF("X" = F15:AA15, 1, 0))</f>
        <v>13</v>
      </c>
      <c r="AC15" cm="1">
        <f t="array" ref="AC15">SUM(IF("?" = F15:AA15, 1, 0)) + AB15</f>
        <v>15</v>
      </c>
      <c r="AF15" t="b">
        <f t="shared" si="1"/>
        <v>1</v>
      </c>
      <c r="AG15" t="b">
        <f t="shared" si="2"/>
        <v>1</v>
      </c>
    </row>
    <row r="16" spans="1:33" x14ac:dyDescent="0.2">
      <c r="A16" s="9" t="s">
        <v>15</v>
      </c>
      <c r="B16">
        <v>14</v>
      </c>
      <c r="C16">
        <v>17</v>
      </c>
      <c r="D16" t="b">
        <f t="shared" si="0"/>
        <v>0</v>
      </c>
      <c r="F16" t="s">
        <v>53</v>
      </c>
      <c r="G16" t="s">
        <v>53</v>
      </c>
      <c r="H16" t="s">
        <v>53</v>
      </c>
      <c r="I16" t="s">
        <v>53</v>
      </c>
      <c r="K16" t="s">
        <v>53</v>
      </c>
      <c r="M16" t="s">
        <v>53</v>
      </c>
      <c r="N16" t="s">
        <v>53</v>
      </c>
      <c r="O16" t="s">
        <v>43</v>
      </c>
      <c r="P16" t="s">
        <v>53</v>
      </c>
      <c r="Q16" t="s">
        <v>53</v>
      </c>
      <c r="R16" t="s">
        <v>53</v>
      </c>
      <c r="T16" t="s">
        <v>53</v>
      </c>
      <c r="U16" t="s">
        <v>53</v>
      </c>
      <c r="V16" t="s">
        <v>43</v>
      </c>
      <c r="W16" t="s">
        <v>53</v>
      </c>
      <c r="Y16" t="s">
        <v>53</v>
      </c>
      <c r="AA16" t="s">
        <v>43</v>
      </c>
      <c r="AB16" cm="1">
        <f t="array" ref="AB16">SUM(IF("X" = F16:AA16, 1, 0))</f>
        <v>14</v>
      </c>
      <c r="AC16" cm="1">
        <f t="array" ref="AC16">SUM(IF("?" = F16:AA16, 1, 0)) + AB16</f>
        <v>17</v>
      </c>
      <c r="AF16" t="b">
        <f t="shared" si="1"/>
        <v>1</v>
      </c>
      <c r="AG16" t="b">
        <f t="shared" si="2"/>
        <v>1</v>
      </c>
    </row>
    <row r="17" spans="1:33" x14ac:dyDescent="0.2">
      <c r="A17" t="s">
        <v>16</v>
      </c>
      <c r="B17">
        <v>12</v>
      </c>
      <c r="C17">
        <v>14</v>
      </c>
      <c r="D17" t="b">
        <f t="shared" si="0"/>
        <v>0</v>
      </c>
      <c r="F17" t="s">
        <v>53</v>
      </c>
      <c r="G17" t="s">
        <v>53</v>
      </c>
      <c r="J17" t="s">
        <v>53</v>
      </c>
      <c r="M17" t="s">
        <v>53</v>
      </c>
      <c r="N17" t="s">
        <v>53</v>
      </c>
      <c r="O17" t="s">
        <v>43</v>
      </c>
      <c r="P17" t="s">
        <v>53</v>
      </c>
      <c r="Q17" t="s">
        <v>53</v>
      </c>
      <c r="R17" t="s">
        <v>53</v>
      </c>
      <c r="S17" t="s">
        <v>43</v>
      </c>
      <c r="T17" t="s">
        <v>53</v>
      </c>
      <c r="U17" t="s">
        <v>53</v>
      </c>
      <c r="W17" t="s">
        <v>53</v>
      </c>
      <c r="AA17" t="s">
        <v>53</v>
      </c>
      <c r="AB17" cm="1">
        <f t="array" ref="AB17">SUM(IF("X" = F17:AA17, 1, 0))</f>
        <v>12</v>
      </c>
      <c r="AC17" cm="1">
        <f t="array" ref="AC17">SUM(IF("?" = F17:AA17, 1, 0)) + AB17</f>
        <v>14</v>
      </c>
      <c r="AF17" t="b">
        <f t="shared" si="1"/>
        <v>1</v>
      </c>
      <c r="AG17" t="b">
        <f t="shared" si="2"/>
        <v>1</v>
      </c>
    </row>
    <row r="18" spans="1:33" x14ac:dyDescent="0.2">
      <c r="A18" t="s">
        <v>17</v>
      </c>
      <c r="B18">
        <v>12</v>
      </c>
      <c r="C18">
        <v>12</v>
      </c>
      <c r="D18" t="b">
        <f t="shared" si="0"/>
        <v>1</v>
      </c>
      <c r="G18" t="s">
        <v>53</v>
      </c>
      <c r="K18" t="s">
        <v>53</v>
      </c>
      <c r="M18" t="s">
        <v>53</v>
      </c>
      <c r="N18" t="s">
        <v>53</v>
      </c>
      <c r="P18" t="s">
        <v>53</v>
      </c>
      <c r="Q18" t="s">
        <v>53</v>
      </c>
      <c r="R18" t="s">
        <v>53</v>
      </c>
      <c r="S18" t="s">
        <v>53</v>
      </c>
      <c r="T18" t="s">
        <v>53</v>
      </c>
      <c r="U18" t="s">
        <v>53</v>
      </c>
      <c r="W18" t="s">
        <v>53</v>
      </c>
      <c r="Y18" t="s">
        <v>53</v>
      </c>
      <c r="AB18" cm="1">
        <f t="array" ref="AB18">SUM(IF("X" = F18:AA18, 1, 0))</f>
        <v>12</v>
      </c>
      <c r="AC18" cm="1">
        <f t="array" ref="AC18">SUM(IF("?" = F18:AA18, 1, 0)) + AB18</f>
        <v>12</v>
      </c>
      <c r="AF18" t="b">
        <f t="shared" si="1"/>
        <v>1</v>
      </c>
      <c r="AG18" t="b">
        <f t="shared" si="2"/>
        <v>1</v>
      </c>
    </row>
    <row r="19" spans="1:33" x14ac:dyDescent="0.2">
      <c r="A19" t="s">
        <v>18</v>
      </c>
      <c r="B19">
        <v>14</v>
      </c>
      <c r="C19">
        <v>15</v>
      </c>
      <c r="D19" t="b">
        <f t="shared" si="0"/>
        <v>0</v>
      </c>
      <c r="F19" t="s">
        <v>53</v>
      </c>
      <c r="G19" t="s">
        <v>53</v>
      </c>
      <c r="K19" t="s">
        <v>53</v>
      </c>
      <c r="L19" t="s">
        <v>53</v>
      </c>
      <c r="N19" t="s">
        <v>53</v>
      </c>
      <c r="O19" t="s">
        <v>53</v>
      </c>
      <c r="P19" t="s">
        <v>53</v>
      </c>
      <c r="Q19" t="s">
        <v>53</v>
      </c>
      <c r="R19" t="s">
        <v>53</v>
      </c>
      <c r="S19" t="s">
        <v>43</v>
      </c>
      <c r="T19" t="s">
        <v>53</v>
      </c>
      <c r="U19" t="s">
        <v>53</v>
      </c>
      <c r="W19" t="s">
        <v>53</v>
      </c>
      <c r="Z19" t="s">
        <v>53</v>
      </c>
      <c r="AA19" t="s">
        <v>53</v>
      </c>
      <c r="AB19" cm="1">
        <f t="array" ref="AB19">SUM(IF("X" = F19:AA19, 1, 0))</f>
        <v>14</v>
      </c>
      <c r="AC19" cm="1">
        <f t="array" ref="AC19">SUM(IF("?" = F19:AA19, 1, 0)) + AB19</f>
        <v>15</v>
      </c>
      <c r="AF19" t="b">
        <f t="shared" si="1"/>
        <v>1</v>
      </c>
      <c r="AG19" t="b">
        <f t="shared" si="2"/>
        <v>1</v>
      </c>
    </row>
    <row r="20" spans="1:33" x14ac:dyDescent="0.2">
      <c r="A20" s="9" t="s">
        <v>19</v>
      </c>
      <c r="B20">
        <v>13</v>
      </c>
      <c r="C20">
        <v>17</v>
      </c>
      <c r="D20" t="b">
        <f t="shared" si="0"/>
        <v>0</v>
      </c>
      <c r="F20" t="s">
        <v>53</v>
      </c>
      <c r="G20" t="s">
        <v>53</v>
      </c>
      <c r="H20" t="s">
        <v>53</v>
      </c>
      <c r="J20" t="s">
        <v>53</v>
      </c>
      <c r="K20" t="s">
        <v>53</v>
      </c>
      <c r="L20" t="s">
        <v>53</v>
      </c>
      <c r="M20" t="s">
        <v>53</v>
      </c>
      <c r="N20" t="s">
        <v>53</v>
      </c>
      <c r="O20" t="s">
        <v>43</v>
      </c>
      <c r="P20" t="s">
        <v>53</v>
      </c>
      <c r="Q20" t="s">
        <v>53</v>
      </c>
      <c r="R20" t="s">
        <v>53</v>
      </c>
      <c r="S20" t="s">
        <v>43</v>
      </c>
      <c r="U20" t="s">
        <v>53</v>
      </c>
      <c r="V20" t="s">
        <v>43</v>
      </c>
      <c r="Y20" t="s">
        <v>53</v>
      </c>
      <c r="AA20" t="s">
        <v>43</v>
      </c>
      <c r="AB20" cm="1">
        <f t="array" ref="AB20">SUM(IF("X" = F20:AA20, 1, 0))</f>
        <v>13</v>
      </c>
      <c r="AC20" cm="1">
        <f t="array" ref="AC20">SUM(IF("?" = F20:AA20, 1, 0)) + AB20</f>
        <v>17</v>
      </c>
      <c r="AF20" t="b">
        <f t="shared" si="1"/>
        <v>1</v>
      </c>
      <c r="AG20" t="b">
        <f t="shared" si="2"/>
        <v>1</v>
      </c>
    </row>
    <row r="21" spans="1:33" x14ac:dyDescent="0.2">
      <c r="A21" s="9" t="s">
        <v>20</v>
      </c>
      <c r="B21">
        <v>15</v>
      </c>
      <c r="C21">
        <v>18</v>
      </c>
      <c r="D21" t="b">
        <f t="shared" si="0"/>
        <v>0</v>
      </c>
      <c r="F21" t="s">
        <v>53</v>
      </c>
      <c r="G21" t="s">
        <v>53</v>
      </c>
      <c r="H21" t="s">
        <v>53</v>
      </c>
      <c r="I21" t="s">
        <v>53</v>
      </c>
      <c r="J21" t="s">
        <v>53</v>
      </c>
      <c r="K21" t="s">
        <v>53</v>
      </c>
      <c r="L21" t="s">
        <v>53</v>
      </c>
      <c r="N21" t="s">
        <v>53</v>
      </c>
      <c r="O21" t="s">
        <v>43</v>
      </c>
      <c r="P21" t="s">
        <v>53</v>
      </c>
      <c r="Q21" t="s">
        <v>53</v>
      </c>
      <c r="R21" t="s">
        <v>53</v>
      </c>
      <c r="S21" t="s">
        <v>43</v>
      </c>
      <c r="T21" t="s">
        <v>53</v>
      </c>
      <c r="U21" t="s">
        <v>53</v>
      </c>
      <c r="V21" t="s">
        <v>53</v>
      </c>
      <c r="X21" t="s">
        <v>53</v>
      </c>
      <c r="AA21" t="s">
        <v>43</v>
      </c>
      <c r="AB21" cm="1">
        <f t="array" ref="AB21">SUM(IF("X" = F21:AA21, 1, 0))</f>
        <v>15</v>
      </c>
      <c r="AC21" cm="1">
        <f t="array" ref="AC21">SUM(IF("?" = F21:AA21, 1, 0)) + AB21</f>
        <v>18</v>
      </c>
      <c r="AF21" t="b">
        <f t="shared" si="1"/>
        <v>1</v>
      </c>
      <c r="AG21" t="b">
        <f t="shared" si="2"/>
        <v>1</v>
      </c>
    </row>
    <row r="22" spans="1:33" x14ac:dyDescent="0.2">
      <c r="A22" t="s">
        <v>21</v>
      </c>
      <c r="B22">
        <v>15</v>
      </c>
      <c r="C22">
        <v>16</v>
      </c>
      <c r="D22" t="b">
        <f t="shared" si="0"/>
        <v>0</v>
      </c>
      <c r="F22" t="s">
        <v>53</v>
      </c>
      <c r="G22" t="s">
        <v>53</v>
      </c>
      <c r="H22" t="s">
        <v>53</v>
      </c>
      <c r="I22" t="s">
        <v>53</v>
      </c>
      <c r="J22" t="s">
        <v>53</v>
      </c>
      <c r="K22" t="s">
        <v>53</v>
      </c>
      <c r="M22" t="s">
        <v>53</v>
      </c>
      <c r="Q22" t="s">
        <v>53</v>
      </c>
      <c r="R22" t="s">
        <v>53</v>
      </c>
      <c r="S22" t="s">
        <v>43</v>
      </c>
      <c r="T22" t="s">
        <v>53</v>
      </c>
      <c r="U22" t="s">
        <v>53</v>
      </c>
      <c r="V22" t="s">
        <v>53</v>
      </c>
      <c r="W22" t="s">
        <v>53</v>
      </c>
      <c r="Y22" t="s">
        <v>53</v>
      </c>
      <c r="AA22" t="s">
        <v>53</v>
      </c>
      <c r="AB22" cm="1">
        <f t="array" ref="AB22">SUM(IF("X" = F22:AA22, 1, 0))</f>
        <v>15</v>
      </c>
      <c r="AC22" cm="1">
        <f t="array" ref="AC22">SUM(IF("?" = F22:AA22, 1, 0)) + AB22</f>
        <v>16</v>
      </c>
      <c r="AF22" t="b">
        <f t="shared" si="1"/>
        <v>1</v>
      </c>
      <c r="AG22" t="b">
        <f t="shared" si="2"/>
        <v>1</v>
      </c>
    </row>
    <row r="23" spans="1:33" x14ac:dyDescent="0.2">
      <c r="A23" t="s">
        <v>22</v>
      </c>
      <c r="B23">
        <v>14</v>
      </c>
      <c r="C23">
        <v>16</v>
      </c>
      <c r="D23" t="b">
        <f t="shared" si="0"/>
        <v>0</v>
      </c>
      <c r="F23" t="s">
        <v>53</v>
      </c>
      <c r="G23" t="s">
        <v>53</v>
      </c>
      <c r="K23" t="s">
        <v>53</v>
      </c>
      <c r="L23" t="s">
        <v>53</v>
      </c>
      <c r="N23" t="s">
        <v>53</v>
      </c>
      <c r="O23" t="s">
        <v>43</v>
      </c>
      <c r="P23" t="s">
        <v>53</v>
      </c>
      <c r="Q23" t="s">
        <v>53</v>
      </c>
      <c r="R23" t="s">
        <v>53</v>
      </c>
      <c r="T23" t="s">
        <v>53</v>
      </c>
      <c r="U23" t="s">
        <v>53</v>
      </c>
      <c r="V23" t="s">
        <v>53</v>
      </c>
      <c r="W23" t="s">
        <v>53</v>
      </c>
      <c r="Y23" t="s">
        <v>53</v>
      </c>
      <c r="Z23" t="s">
        <v>53</v>
      </c>
      <c r="AA23" t="s">
        <v>43</v>
      </c>
      <c r="AB23" cm="1">
        <f t="array" ref="AB23">SUM(IF("X" = F23:AA23, 1, 0))</f>
        <v>14</v>
      </c>
      <c r="AC23" cm="1">
        <f t="array" ref="AC23">SUM(IF("?" = F23:AA23, 1, 0)) + AB23</f>
        <v>16</v>
      </c>
      <c r="AF23" t="b">
        <f t="shared" si="1"/>
        <v>1</v>
      </c>
      <c r="AG23" t="b">
        <f t="shared" si="2"/>
        <v>1</v>
      </c>
    </row>
    <row r="24" spans="1:33" x14ac:dyDescent="0.2">
      <c r="A24" t="s">
        <v>23</v>
      </c>
      <c r="B24">
        <v>12</v>
      </c>
      <c r="C24">
        <v>14</v>
      </c>
      <c r="D24" t="b">
        <f t="shared" si="0"/>
        <v>0</v>
      </c>
      <c r="F24" t="s">
        <v>53</v>
      </c>
      <c r="G24" t="s">
        <v>53</v>
      </c>
      <c r="I24" t="s">
        <v>53</v>
      </c>
      <c r="J24" t="s">
        <v>43</v>
      </c>
      <c r="N24" t="s">
        <v>53</v>
      </c>
      <c r="P24" t="s">
        <v>53</v>
      </c>
      <c r="Q24" t="s">
        <v>53</v>
      </c>
      <c r="R24" t="s">
        <v>53</v>
      </c>
      <c r="T24" t="s">
        <v>53</v>
      </c>
      <c r="U24" t="s">
        <v>53</v>
      </c>
      <c r="V24" t="s">
        <v>53</v>
      </c>
      <c r="W24" t="s">
        <v>53</v>
      </c>
      <c r="Y24" t="s">
        <v>53</v>
      </c>
      <c r="AA24" t="s">
        <v>43</v>
      </c>
      <c r="AB24" cm="1">
        <f t="array" ref="AB24">SUM(IF("X" = F24:AA24, 1, 0))</f>
        <v>12</v>
      </c>
      <c r="AC24" cm="1">
        <f t="array" ref="AC24">SUM(IF("?" = F24:AA24, 1, 0)) + AB24</f>
        <v>14</v>
      </c>
      <c r="AF24" t="b">
        <f t="shared" si="1"/>
        <v>1</v>
      </c>
      <c r="AG24" t="b">
        <f t="shared" si="2"/>
        <v>1</v>
      </c>
    </row>
    <row r="25" spans="1:33" x14ac:dyDescent="0.2">
      <c r="A25" s="9" t="s">
        <v>24</v>
      </c>
      <c r="B25">
        <v>16</v>
      </c>
      <c r="C25">
        <v>18</v>
      </c>
      <c r="D25" t="b">
        <f t="shared" si="0"/>
        <v>0</v>
      </c>
      <c r="F25" t="s">
        <v>53</v>
      </c>
      <c r="G25" t="s">
        <v>53</v>
      </c>
      <c r="H25" t="s">
        <v>53</v>
      </c>
      <c r="I25" t="s">
        <v>53</v>
      </c>
      <c r="J25" t="s">
        <v>53</v>
      </c>
      <c r="K25" t="s">
        <v>53</v>
      </c>
      <c r="M25" t="s">
        <v>53</v>
      </c>
      <c r="N25" t="s">
        <v>53</v>
      </c>
      <c r="O25" t="s">
        <v>53</v>
      </c>
      <c r="P25" t="s">
        <v>53</v>
      </c>
      <c r="R25" t="s">
        <v>53</v>
      </c>
      <c r="S25" t="s">
        <v>43</v>
      </c>
      <c r="T25" t="s">
        <v>53</v>
      </c>
      <c r="U25" t="s">
        <v>53</v>
      </c>
      <c r="V25" t="s">
        <v>53</v>
      </c>
      <c r="W25" t="s">
        <v>53</v>
      </c>
      <c r="Y25" t="s">
        <v>53</v>
      </c>
      <c r="AA25" t="s">
        <v>43</v>
      </c>
      <c r="AB25" cm="1">
        <f t="array" ref="AB25">SUM(IF("X" = F25:AA25, 1, 0))</f>
        <v>16</v>
      </c>
      <c r="AC25" cm="1">
        <f t="array" ref="AC25">SUM(IF("?" = F25:AA25, 1, 0)) + AB25</f>
        <v>18</v>
      </c>
      <c r="AF25" t="b">
        <f t="shared" si="1"/>
        <v>1</v>
      </c>
      <c r="AG25" t="b">
        <f t="shared" si="2"/>
        <v>1</v>
      </c>
    </row>
    <row r="26" spans="1:33" x14ac:dyDescent="0.2">
      <c r="A26" t="s">
        <v>25</v>
      </c>
      <c r="B26">
        <v>15</v>
      </c>
      <c r="C26">
        <v>16</v>
      </c>
      <c r="D26" t="b">
        <f t="shared" si="0"/>
        <v>0</v>
      </c>
      <c r="F26" t="s">
        <v>53</v>
      </c>
      <c r="G26" t="s">
        <v>53</v>
      </c>
      <c r="H26" t="s">
        <v>53</v>
      </c>
      <c r="J26" t="s">
        <v>53</v>
      </c>
      <c r="K26" t="s">
        <v>53</v>
      </c>
      <c r="M26" t="s">
        <v>53</v>
      </c>
      <c r="N26" t="s">
        <v>53</v>
      </c>
      <c r="O26" t="s">
        <v>53</v>
      </c>
      <c r="P26" t="s">
        <v>53</v>
      </c>
      <c r="Q26" t="s">
        <v>53</v>
      </c>
      <c r="R26" t="s">
        <v>53</v>
      </c>
      <c r="S26" t="s">
        <v>43</v>
      </c>
      <c r="T26" t="s">
        <v>53</v>
      </c>
      <c r="U26" t="s">
        <v>53</v>
      </c>
      <c r="V26" t="s">
        <v>53</v>
      </c>
      <c r="AA26" t="s">
        <v>53</v>
      </c>
      <c r="AB26" cm="1">
        <f t="array" ref="AB26">SUM(IF("X" = F26:AA26, 1, 0))</f>
        <v>15</v>
      </c>
      <c r="AC26" cm="1">
        <f t="array" ref="AC26">SUM(IF("?" = F26:AA26, 1, 0)) + AB26</f>
        <v>16</v>
      </c>
      <c r="AF26" t="b">
        <f t="shared" si="1"/>
        <v>1</v>
      </c>
      <c r="AG26" t="b">
        <f t="shared" si="2"/>
        <v>1</v>
      </c>
    </row>
    <row r="27" spans="1:33" x14ac:dyDescent="0.2">
      <c r="A27" t="s">
        <v>26</v>
      </c>
      <c r="B27">
        <v>15</v>
      </c>
      <c r="C27">
        <v>16</v>
      </c>
      <c r="D27" t="b">
        <f t="shared" si="0"/>
        <v>0</v>
      </c>
      <c r="F27" t="s">
        <v>53</v>
      </c>
      <c r="G27" t="s">
        <v>53</v>
      </c>
      <c r="K27" t="s">
        <v>53</v>
      </c>
      <c r="L27" t="s">
        <v>53</v>
      </c>
      <c r="M27" t="s">
        <v>53</v>
      </c>
      <c r="N27" t="s">
        <v>53</v>
      </c>
      <c r="O27" t="s">
        <v>53</v>
      </c>
      <c r="P27" t="s">
        <v>53</v>
      </c>
      <c r="Q27" t="s">
        <v>53</v>
      </c>
      <c r="R27" t="s">
        <v>53</v>
      </c>
      <c r="T27" t="s">
        <v>53</v>
      </c>
      <c r="U27" t="s">
        <v>53</v>
      </c>
      <c r="V27" t="s">
        <v>53</v>
      </c>
      <c r="W27" t="s">
        <v>53</v>
      </c>
      <c r="Z27" t="s">
        <v>53</v>
      </c>
      <c r="AA27" t="s">
        <v>43</v>
      </c>
      <c r="AB27" cm="1">
        <f t="array" ref="AB27">SUM(IF("X" = F27:AA27, 1, 0))</f>
        <v>15</v>
      </c>
      <c r="AC27" cm="1">
        <f t="array" ref="AC27">SUM(IF("?" = F27:AA27, 1, 0)) + AB27</f>
        <v>16</v>
      </c>
      <c r="AF27" t="b">
        <f t="shared" si="1"/>
        <v>1</v>
      </c>
      <c r="AG27" t="b">
        <f t="shared" si="2"/>
        <v>1</v>
      </c>
    </row>
    <row r="28" spans="1:33" x14ac:dyDescent="0.2">
      <c r="A28" t="s">
        <v>27</v>
      </c>
      <c r="B28">
        <v>12</v>
      </c>
      <c r="C28">
        <v>14</v>
      </c>
      <c r="D28" t="b">
        <f t="shared" si="0"/>
        <v>0</v>
      </c>
      <c r="F28" t="s">
        <v>53</v>
      </c>
      <c r="G28" t="s">
        <v>53</v>
      </c>
      <c r="H28" t="s">
        <v>53</v>
      </c>
      <c r="I28" t="s">
        <v>53</v>
      </c>
      <c r="J28" t="s">
        <v>53</v>
      </c>
      <c r="N28" t="s">
        <v>53</v>
      </c>
      <c r="O28" t="s">
        <v>53</v>
      </c>
      <c r="R28" t="s">
        <v>53</v>
      </c>
      <c r="S28" t="s">
        <v>43</v>
      </c>
      <c r="T28" t="s">
        <v>53</v>
      </c>
      <c r="U28" t="s">
        <v>43</v>
      </c>
      <c r="V28" t="s">
        <v>53</v>
      </c>
      <c r="W28" t="s">
        <v>53</v>
      </c>
      <c r="AA28" t="s">
        <v>53</v>
      </c>
      <c r="AB28" cm="1">
        <f t="array" ref="AB28">SUM(IF("X" = F28:AA28, 1, 0))</f>
        <v>12</v>
      </c>
      <c r="AC28" cm="1">
        <f t="array" ref="AC28">SUM(IF("?" = F28:AA28, 1, 0)) + AB28</f>
        <v>14</v>
      </c>
      <c r="AF28" t="b">
        <f t="shared" si="1"/>
        <v>1</v>
      </c>
      <c r="AG28" t="b">
        <f t="shared" si="2"/>
        <v>1</v>
      </c>
    </row>
    <row r="29" spans="1:33" x14ac:dyDescent="0.2">
      <c r="A29" t="s">
        <v>28</v>
      </c>
      <c r="B29">
        <v>12</v>
      </c>
      <c r="C29">
        <v>13</v>
      </c>
      <c r="D29" t="b">
        <f t="shared" si="0"/>
        <v>0</v>
      </c>
      <c r="F29" t="s">
        <v>53</v>
      </c>
      <c r="G29" t="s">
        <v>53</v>
      </c>
      <c r="H29" t="s">
        <v>53</v>
      </c>
      <c r="N29" t="s">
        <v>53</v>
      </c>
      <c r="O29" t="s">
        <v>53</v>
      </c>
      <c r="P29" t="s">
        <v>53</v>
      </c>
      <c r="R29" t="s">
        <v>53</v>
      </c>
      <c r="S29" t="s">
        <v>43</v>
      </c>
      <c r="T29" t="s">
        <v>53</v>
      </c>
      <c r="U29" t="s">
        <v>53</v>
      </c>
      <c r="V29" t="s">
        <v>53</v>
      </c>
      <c r="Y29" t="s">
        <v>53</v>
      </c>
      <c r="Z29" t="s">
        <v>53</v>
      </c>
      <c r="AB29" cm="1">
        <f t="array" ref="AB29">SUM(IF("X" = F29:AA29, 1, 0))</f>
        <v>12</v>
      </c>
      <c r="AC29" cm="1">
        <f t="array" ref="AC29">SUM(IF("?" = F29:AA29, 1, 0)) + AB29</f>
        <v>13</v>
      </c>
      <c r="AF29" t="b">
        <f t="shared" si="1"/>
        <v>1</v>
      </c>
      <c r="AG29" t="b">
        <f t="shared" si="2"/>
        <v>1</v>
      </c>
    </row>
    <row r="30" spans="1:33" x14ac:dyDescent="0.2">
      <c r="A30" s="8" t="s">
        <v>29</v>
      </c>
      <c r="B30">
        <v>19</v>
      </c>
      <c r="C30">
        <v>21</v>
      </c>
      <c r="D30" t="b">
        <f t="shared" si="0"/>
        <v>0</v>
      </c>
      <c r="F30" t="s">
        <v>53</v>
      </c>
      <c r="G30" t="s">
        <v>53</v>
      </c>
      <c r="H30" t="s">
        <v>53</v>
      </c>
      <c r="I30" t="s">
        <v>53</v>
      </c>
      <c r="J30" t="s">
        <v>53</v>
      </c>
      <c r="K30" t="s">
        <v>53</v>
      </c>
      <c r="L30" t="s">
        <v>53</v>
      </c>
      <c r="M30" t="s">
        <v>53</v>
      </c>
      <c r="N30" t="s">
        <v>53</v>
      </c>
      <c r="O30" t="s">
        <v>53</v>
      </c>
      <c r="P30" t="s">
        <v>53</v>
      </c>
      <c r="Q30" t="s">
        <v>53</v>
      </c>
      <c r="R30" t="s">
        <v>53</v>
      </c>
      <c r="S30" t="s">
        <v>43</v>
      </c>
      <c r="T30" t="s">
        <v>53</v>
      </c>
      <c r="U30" t="s">
        <v>53</v>
      </c>
      <c r="V30" t="s">
        <v>53</v>
      </c>
      <c r="W30" t="s">
        <v>53</v>
      </c>
      <c r="Y30" t="s">
        <v>53</v>
      </c>
      <c r="Z30" t="s">
        <v>53</v>
      </c>
      <c r="AA30" t="s">
        <v>43</v>
      </c>
      <c r="AB30" cm="1">
        <f t="array" ref="AB30">SUM(IF("X" = F30:AA30, 1, 0))</f>
        <v>19</v>
      </c>
      <c r="AC30" cm="1">
        <f t="array" ref="AC30">SUM(IF("?" = F30:AA30, 1, 0)) + AB30</f>
        <v>21</v>
      </c>
      <c r="AF30" t="b">
        <f t="shared" si="1"/>
        <v>1</v>
      </c>
      <c r="AG30" t="b">
        <f t="shared" si="2"/>
        <v>1</v>
      </c>
    </row>
    <row r="31" spans="1:33" x14ac:dyDescent="0.2">
      <c r="A31" t="s">
        <v>30</v>
      </c>
      <c r="B31">
        <v>13</v>
      </c>
      <c r="C31">
        <v>15</v>
      </c>
      <c r="D31" t="b">
        <f t="shared" si="0"/>
        <v>0</v>
      </c>
      <c r="F31" t="s">
        <v>53</v>
      </c>
      <c r="G31" t="s">
        <v>53</v>
      </c>
      <c r="J31" t="s">
        <v>53</v>
      </c>
      <c r="N31" t="s">
        <v>53</v>
      </c>
      <c r="O31" t="s">
        <v>43</v>
      </c>
      <c r="P31" t="s">
        <v>53</v>
      </c>
      <c r="Q31" t="s">
        <v>53</v>
      </c>
      <c r="R31" t="s">
        <v>53</v>
      </c>
      <c r="S31" t="s">
        <v>43</v>
      </c>
      <c r="T31" t="s">
        <v>53</v>
      </c>
      <c r="U31" t="s">
        <v>53</v>
      </c>
      <c r="W31" t="s">
        <v>53</v>
      </c>
      <c r="Y31" t="s">
        <v>53</v>
      </c>
      <c r="Z31" t="s">
        <v>53</v>
      </c>
      <c r="AA31" t="s">
        <v>53</v>
      </c>
      <c r="AB31" cm="1">
        <f t="array" ref="AB31">SUM(IF("X" = F31:AA31, 1, 0))</f>
        <v>13</v>
      </c>
      <c r="AC31" cm="1">
        <f t="array" ref="AC31">SUM(IF("?" = F31:AA31, 1, 0)) + AB31</f>
        <v>15</v>
      </c>
      <c r="AF31" t="b">
        <f t="shared" si="1"/>
        <v>1</v>
      </c>
      <c r="AG31" t="b">
        <f t="shared" si="2"/>
        <v>1</v>
      </c>
    </row>
    <row r="32" spans="1:33" x14ac:dyDescent="0.2">
      <c r="A32" t="s">
        <v>31</v>
      </c>
      <c r="B32">
        <v>12</v>
      </c>
      <c r="C32">
        <v>14</v>
      </c>
      <c r="D32" t="b">
        <f t="shared" si="0"/>
        <v>0</v>
      </c>
      <c r="F32" t="s">
        <v>53</v>
      </c>
      <c r="G32" t="s">
        <v>53</v>
      </c>
      <c r="J32" t="s">
        <v>53</v>
      </c>
      <c r="N32" t="s">
        <v>53</v>
      </c>
      <c r="O32" t="s">
        <v>43</v>
      </c>
      <c r="P32" t="s">
        <v>53</v>
      </c>
      <c r="Q32" t="s">
        <v>53</v>
      </c>
      <c r="R32" t="s">
        <v>53</v>
      </c>
      <c r="S32" t="s">
        <v>43</v>
      </c>
      <c r="T32" t="s">
        <v>53</v>
      </c>
      <c r="U32" t="s">
        <v>53</v>
      </c>
      <c r="W32" t="s">
        <v>53</v>
      </c>
      <c r="Z32" t="s">
        <v>53</v>
      </c>
      <c r="AA32" t="s">
        <v>53</v>
      </c>
      <c r="AB32" cm="1">
        <f t="array" ref="AB32">SUM(IF("X" = F32:AA32, 1, 0))</f>
        <v>12</v>
      </c>
      <c r="AC32" cm="1">
        <f t="array" ref="AC32">SUM(IF("?" = F32:AA32, 1, 0)) + AB32</f>
        <v>14</v>
      </c>
      <c r="AF32" t="b">
        <f t="shared" si="1"/>
        <v>1</v>
      </c>
      <c r="AG32" t="b">
        <f t="shared" si="2"/>
        <v>1</v>
      </c>
    </row>
    <row r="33" spans="1:33" x14ac:dyDescent="0.2">
      <c r="A33" t="s">
        <v>32</v>
      </c>
      <c r="B33">
        <v>12</v>
      </c>
      <c r="C33">
        <v>14</v>
      </c>
      <c r="D33" t="b">
        <f t="shared" si="0"/>
        <v>0</v>
      </c>
      <c r="F33" t="s">
        <v>53</v>
      </c>
      <c r="G33" t="s">
        <v>53</v>
      </c>
      <c r="I33" t="s">
        <v>53</v>
      </c>
      <c r="M33" t="s">
        <v>53</v>
      </c>
      <c r="N33" t="s">
        <v>53</v>
      </c>
      <c r="O33" t="s">
        <v>43</v>
      </c>
      <c r="P33" t="s">
        <v>53</v>
      </c>
      <c r="R33" t="s">
        <v>53</v>
      </c>
      <c r="S33" t="s">
        <v>43</v>
      </c>
      <c r="T33" t="s">
        <v>53</v>
      </c>
      <c r="U33" t="s">
        <v>53</v>
      </c>
      <c r="W33" t="s">
        <v>53</v>
      </c>
      <c r="Z33" t="s">
        <v>53</v>
      </c>
      <c r="AA33" t="s">
        <v>53</v>
      </c>
      <c r="AB33" cm="1">
        <f t="array" ref="AB33">SUM(IF("X" = F33:AA33, 1, 0))</f>
        <v>12</v>
      </c>
      <c r="AC33" cm="1">
        <f t="array" ref="AC33">SUM(IF("?" = F33:AA33, 1, 0)) + AB33</f>
        <v>14</v>
      </c>
      <c r="AF33" t="b">
        <f t="shared" si="1"/>
        <v>1</v>
      </c>
      <c r="AG33" t="b">
        <f t="shared" si="2"/>
        <v>1</v>
      </c>
    </row>
    <row r="34" spans="1:33" x14ac:dyDescent="0.2">
      <c r="A34" t="s">
        <v>33</v>
      </c>
      <c r="B34">
        <v>15</v>
      </c>
      <c r="C34">
        <v>16</v>
      </c>
      <c r="D34" t="b">
        <f t="shared" si="0"/>
        <v>0</v>
      </c>
      <c r="F34" t="s">
        <v>53</v>
      </c>
      <c r="G34" t="s">
        <v>53</v>
      </c>
      <c r="I34" t="s">
        <v>53</v>
      </c>
      <c r="L34" t="s">
        <v>53</v>
      </c>
      <c r="M34" t="s">
        <v>53</v>
      </c>
      <c r="O34" t="s">
        <v>43</v>
      </c>
      <c r="P34" t="s">
        <v>53</v>
      </c>
      <c r="Q34" t="s">
        <v>53</v>
      </c>
      <c r="R34" t="s">
        <v>53</v>
      </c>
      <c r="T34" t="s">
        <v>53</v>
      </c>
      <c r="U34" t="s">
        <v>53</v>
      </c>
      <c r="V34" t="s">
        <v>53</v>
      </c>
      <c r="W34" t="s">
        <v>53</v>
      </c>
      <c r="X34" t="s">
        <v>53</v>
      </c>
      <c r="Y34" t="s">
        <v>53</v>
      </c>
      <c r="Z34" t="s">
        <v>53</v>
      </c>
      <c r="AB34" cm="1">
        <f t="array" ref="AB34">SUM(IF("X" = F34:AA34, 1, 0))</f>
        <v>15</v>
      </c>
      <c r="AC34" cm="1">
        <f t="array" ref="AC34">SUM(IF("?" = F34:AA34, 1, 0)) + AB34</f>
        <v>16</v>
      </c>
      <c r="AF34" t="b">
        <f t="shared" si="1"/>
        <v>1</v>
      </c>
      <c r="AG34" t="b">
        <f t="shared" si="2"/>
        <v>1</v>
      </c>
    </row>
    <row r="35" spans="1:33" x14ac:dyDescent="0.2">
      <c r="B35">
        <f>AVERAGE(B2:B34)</f>
        <v>13.939393939393939</v>
      </c>
      <c r="C35">
        <f>AVERAGE(C2:C34)</f>
        <v>15.606060606060606</v>
      </c>
      <c r="D35">
        <f>COUNTIF(D2:D34,TRUE)</f>
        <v>4</v>
      </c>
    </row>
    <row r="37" spans="1:33" x14ac:dyDescent="0.2">
      <c r="A37" t="s">
        <v>34</v>
      </c>
      <c r="B37">
        <v>21</v>
      </c>
      <c r="C37">
        <v>21</v>
      </c>
      <c r="F37" t="s">
        <v>53</v>
      </c>
      <c r="G37" t="s">
        <v>53</v>
      </c>
      <c r="H37" t="s">
        <v>53</v>
      </c>
      <c r="I37" t="s">
        <v>53</v>
      </c>
      <c r="J37" t="s">
        <v>53</v>
      </c>
      <c r="K37" t="s">
        <v>53</v>
      </c>
      <c r="L37" t="s">
        <v>53</v>
      </c>
      <c r="M37" t="s">
        <v>53</v>
      </c>
      <c r="N37" t="s">
        <v>53</v>
      </c>
      <c r="O37" t="s">
        <v>53</v>
      </c>
      <c r="P37" t="s">
        <v>53</v>
      </c>
      <c r="Q37" t="s">
        <v>53</v>
      </c>
      <c r="R37" t="s">
        <v>53</v>
      </c>
      <c r="S37" t="s">
        <v>53</v>
      </c>
      <c r="U37" t="s">
        <v>53</v>
      </c>
      <c r="V37" t="s">
        <v>53</v>
      </c>
      <c r="W37" t="s">
        <v>53</v>
      </c>
      <c r="X37" t="s">
        <v>53</v>
      </c>
      <c r="Y37" t="s">
        <v>53</v>
      </c>
      <c r="Z37" t="s">
        <v>53</v>
      </c>
      <c r="AA37" t="s">
        <v>53</v>
      </c>
      <c r="AB37" cm="1">
        <f t="array" ref="AB37">SUM(IF("X" = F37:AA37, 1, 0))</f>
        <v>21</v>
      </c>
      <c r="AC37" cm="1">
        <f t="array" ref="AC37">SUM(IF("?" = F37:AA37, 1, 0)) + AB37</f>
        <v>21</v>
      </c>
      <c r="AF37" t="b">
        <f t="shared" ref="AF37:AF57" si="3">AB37=B37</f>
        <v>1</v>
      </c>
      <c r="AG37" t="b">
        <f t="shared" ref="AG37:AG57" si="4">AC37=C37</f>
        <v>1</v>
      </c>
    </row>
    <row r="38" spans="1:33" x14ac:dyDescent="0.2">
      <c r="A38" t="s">
        <v>35</v>
      </c>
      <c r="B38">
        <v>19</v>
      </c>
      <c r="C38">
        <v>20</v>
      </c>
      <c r="F38" t="s">
        <v>53</v>
      </c>
      <c r="G38" t="s">
        <v>53</v>
      </c>
      <c r="I38" t="s">
        <v>53</v>
      </c>
      <c r="J38" t="s">
        <v>53</v>
      </c>
      <c r="K38" t="s">
        <v>53</v>
      </c>
      <c r="M38" t="s">
        <v>53</v>
      </c>
      <c r="N38" t="s">
        <v>53</v>
      </c>
      <c r="O38" t="s">
        <v>53</v>
      </c>
      <c r="P38" t="s">
        <v>53</v>
      </c>
      <c r="Q38" t="s">
        <v>53</v>
      </c>
      <c r="R38" t="s">
        <v>53</v>
      </c>
      <c r="S38" t="s">
        <v>53</v>
      </c>
      <c r="T38" t="s">
        <v>53</v>
      </c>
      <c r="U38" t="s">
        <v>53</v>
      </c>
      <c r="V38" t="s">
        <v>53</v>
      </c>
      <c r="W38" t="s">
        <v>53</v>
      </c>
      <c r="X38" t="s">
        <v>53</v>
      </c>
      <c r="Y38" t="s">
        <v>53</v>
      </c>
      <c r="Z38" t="s">
        <v>53</v>
      </c>
      <c r="AA38" t="s">
        <v>53</v>
      </c>
      <c r="AB38" cm="1">
        <f t="array" ref="AB38">SUM(IF("X" = F38:AA38, 1, 0))</f>
        <v>20</v>
      </c>
      <c r="AC38" cm="1">
        <f t="array" ref="AC38">SUM(IF("?" = F38:AA38, 1, 0)) + AB38</f>
        <v>20</v>
      </c>
      <c r="AF38" t="b">
        <f t="shared" si="3"/>
        <v>0</v>
      </c>
      <c r="AG38" t="b">
        <f t="shared" si="4"/>
        <v>1</v>
      </c>
    </row>
    <row r="39" spans="1:33" x14ac:dyDescent="0.2">
      <c r="A39" t="s">
        <v>36</v>
      </c>
      <c r="B39">
        <v>18</v>
      </c>
      <c r="C39">
        <v>18</v>
      </c>
      <c r="F39" t="s">
        <v>53</v>
      </c>
      <c r="G39" t="s">
        <v>53</v>
      </c>
      <c r="H39" t="s">
        <v>53</v>
      </c>
      <c r="I39" t="s">
        <v>53</v>
      </c>
      <c r="J39" t="s">
        <v>53</v>
      </c>
      <c r="K39" t="s">
        <v>53</v>
      </c>
      <c r="L39" t="s">
        <v>53</v>
      </c>
      <c r="M39" t="s">
        <v>53</v>
      </c>
      <c r="O39" t="s">
        <v>53</v>
      </c>
      <c r="P39" t="s">
        <v>53</v>
      </c>
      <c r="Q39" t="s">
        <v>53</v>
      </c>
      <c r="T39" t="s">
        <v>53</v>
      </c>
      <c r="U39" t="s">
        <v>53</v>
      </c>
      <c r="V39" t="s">
        <v>53</v>
      </c>
      <c r="W39" t="s">
        <v>53</v>
      </c>
      <c r="Y39" t="s">
        <v>53</v>
      </c>
      <c r="Z39" t="s">
        <v>53</v>
      </c>
      <c r="AA39" t="s">
        <v>53</v>
      </c>
      <c r="AB39" cm="1">
        <f t="array" ref="AB39">SUM(IF("X" = F39:AA39, 1, 0))</f>
        <v>18</v>
      </c>
      <c r="AC39" cm="1">
        <f t="array" ref="AC39">SUM(IF("?" = F39:AA39, 1, 0)) + AB39</f>
        <v>18</v>
      </c>
      <c r="AF39" t="b">
        <f t="shared" si="3"/>
        <v>1</v>
      </c>
      <c r="AG39" t="b">
        <f t="shared" si="4"/>
        <v>1</v>
      </c>
    </row>
    <row r="40" spans="1:33" x14ac:dyDescent="0.2">
      <c r="A40" t="s">
        <v>37</v>
      </c>
      <c r="B40">
        <v>17</v>
      </c>
      <c r="C40">
        <v>17</v>
      </c>
      <c r="F40" t="s">
        <v>53</v>
      </c>
      <c r="G40" t="s">
        <v>53</v>
      </c>
      <c r="H40" t="s">
        <v>53</v>
      </c>
      <c r="I40" t="s">
        <v>53</v>
      </c>
      <c r="J40" t="s">
        <v>53</v>
      </c>
      <c r="K40" t="s">
        <v>53</v>
      </c>
      <c r="O40" t="s">
        <v>53</v>
      </c>
      <c r="P40" t="s">
        <v>53</v>
      </c>
      <c r="Q40" t="s">
        <v>53</v>
      </c>
      <c r="R40" t="s">
        <v>53</v>
      </c>
      <c r="S40" t="s">
        <v>53</v>
      </c>
      <c r="V40" t="s">
        <v>53</v>
      </c>
      <c r="W40" t="s">
        <v>53</v>
      </c>
      <c r="X40" t="s">
        <v>53</v>
      </c>
      <c r="Y40" t="s">
        <v>53</v>
      </c>
      <c r="Z40" t="s">
        <v>53</v>
      </c>
      <c r="AA40" t="s">
        <v>53</v>
      </c>
      <c r="AB40" cm="1">
        <f t="array" ref="AB40">SUM(IF("X" = F40:AA40, 1, 0))</f>
        <v>17</v>
      </c>
      <c r="AC40" cm="1">
        <f t="array" ref="AC40">SUM(IF("?" = F40:AA40, 1, 0)) + AB40</f>
        <v>17</v>
      </c>
      <c r="AF40" t="b">
        <f t="shared" si="3"/>
        <v>1</v>
      </c>
      <c r="AG40" t="b">
        <f t="shared" si="4"/>
        <v>1</v>
      </c>
    </row>
    <row r="41" spans="1:33" x14ac:dyDescent="0.2">
      <c r="A41" t="s">
        <v>38</v>
      </c>
      <c r="B41">
        <v>17</v>
      </c>
      <c r="C41">
        <v>18</v>
      </c>
      <c r="F41" t="s">
        <v>53</v>
      </c>
      <c r="G41" t="s">
        <v>53</v>
      </c>
      <c r="H41" t="s">
        <v>53</v>
      </c>
      <c r="I41" t="s">
        <v>53</v>
      </c>
      <c r="J41" t="s">
        <v>53</v>
      </c>
      <c r="K41" t="s">
        <v>53</v>
      </c>
      <c r="L41" t="s">
        <v>53</v>
      </c>
      <c r="M41" t="s">
        <v>53</v>
      </c>
      <c r="N41" t="s">
        <v>53</v>
      </c>
      <c r="O41" t="s">
        <v>53</v>
      </c>
      <c r="P41" t="s">
        <v>53</v>
      </c>
      <c r="Q41" t="s">
        <v>53</v>
      </c>
      <c r="R41" t="s">
        <v>53</v>
      </c>
      <c r="S41" t="s">
        <v>53</v>
      </c>
      <c r="W41" t="s">
        <v>53</v>
      </c>
      <c r="Y41" t="s">
        <v>53</v>
      </c>
      <c r="Z41" t="s">
        <v>53</v>
      </c>
      <c r="AA41" t="s">
        <v>53</v>
      </c>
      <c r="AB41" cm="1">
        <f t="array" ref="AB41">SUM(IF("X" = F41:AA41, 1, 0))</f>
        <v>18</v>
      </c>
      <c r="AC41" cm="1">
        <f t="array" ref="AC41">SUM(IF("?" = F41:AA41, 1, 0)) + AB41</f>
        <v>18</v>
      </c>
      <c r="AF41" t="b">
        <f t="shared" si="3"/>
        <v>0</v>
      </c>
      <c r="AG41" t="b">
        <f t="shared" si="4"/>
        <v>1</v>
      </c>
    </row>
    <row r="42" spans="1:33" x14ac:dyDescent="0.2">
      <c r="A42" t="s">
        <v>39</v>
      </c>
      <c r="B42">
        <v>15</v>
      </c>
      <c r="C42">
        <v>15</v>
      </c>
      <c r="F42" t="s">
        <v>53</v>
      </c>
      <c r="G42" t="s">
        <v>53</v>
      </c>
      <c r="K42" t="s">
        <v>53</v>
      </c>
      <c r="L42" t="s">
        <v>53</v>
      </c>
      <c r="M42" t="s">
        <v>53</v>
      </c>
      <c r="N42" t="s">
        <v>53</v>
      </c>
      <c r="O42" t="s">
        <v>53</v>
      </c>
      <c r="P42" t="s">
        <v>53</v>
      </c>
      <c r="Q42" t="s">
        <v>53</v>
      </c>
      <c r="R42" t="s">
        <v>53</v>
      </c>
      <c r="V42" t="s">
        <v>53</v>
      </c>
      <c r="W42" t="s">
        <v>53</v>
      </c>
      <c r="Y42" t="s">
        <v>53</v>
      </c>
      <c r="Z42" t="s">
        <v>53</v>
      </c>
      <c r="AA42" t="s">
        <v>53</v>
      </c>
      <c r="AB42" cm="1">
        <f t="array" ref="AB42">SUM(IF("X" = F42:AA42, 1, 0))</f>
        <v>15</v>
      </c>
      <c r="AC42" cm="1">
        <f t="array" ref="AC42">SUM(IF("?" = F42:AA42, 1, 0)) + AB42</f>
        <v>15</v>
      </c>
      <c r="AF42" t="b">
        <f t="shared" si="3"/>
        <v>1</v>
      </c>
      <c r="AG42" t="b">
        <f t="shared" si="4"/>
        <v>1</v>
      </c>
    </row>
    <row r="43" spans="1:33" x14ac:dyDescent="0.2">
      <c r="A43" t="s">
        <v>40</v>
      </c>
      <c r="B43">
        <v>14</v>
      </c>
      <c r="C43">
        <v>16</v>
      </c>
      <c r="F43" t="s">
        <v>53</v>
      </c>
      <c r="G43" t="s">
        <v>53</v>
      </c>
      <c r="J43" t="s">
        <v>53</v>
      </c>
      <c r="N43" t="s">
        <v>53</v>
      </c>
      <c r="O43" t="s">
        <v>53</v>
      </c>
      <c r="P43" t="s">
        <v>53</v>
      </c>
      <c r="Q43" t="s">
        <v>53</v>
      </c>
      <c r="R43" t="s">
        <v>53</v>
      </c>
      <c r="S43" t="s">
        <v>53</v>
      </c>
      <c r="U43" t="s">
        <v>53</v>
      </c>
      <c r="V43" t="s">
        <v>53</v>
      </c>
      <c r="W43" t="s">
        <v>53</v>
      </c>
      <c r="X43" t="s">
        <v>53</v>
      </c>
      <c r="Y43" t="s">
        <v>53</v>
      </c>
      <c r="Z43" t="s">
        <v>53</v>
      </c>
      <c r="AA43" t="s">
        <v>53</v>
      </c>
      <c r="AB43" cm="1">
        <f t="array" ref="AB43">SUM(IF("X" = F43:AA43, 1, 0))</f>
        <v>16</v>
      </c>
      <c r="AC43" cm="1">
        <f t="array" ref="AC43">SUM(IF("?" = F43:AA43, 1, 0)) + AB43</f>
        <v>16</v>
      </c>
      <c r="AF43" t="b">
        <f t="shared" si="3"/>
        <v>0</v>
      </c>
      <c r="AG43" t="b">
        <f t="shared" si="4"/>
        <v>1</v>
      </c>
    </row>
    <row r="44" spans="1:33" x14ac:dyDescent="0.2">
      <c r="A44" t="s">
        <v>41</v>
      </c>
      <c r="B44">
        <v>13</v>
      </c>
      <c r="C44">
        <v>13</v>
      </c>
      <c r="F44" t="s">
        <v>53</v>
      </c>
      <c r="G44" t="s">
        <v>53</v>
      </c>
      <c r="J44" t="s">
        <v>53</v>
      </c>
      <c r="K44" t="s">
        <v>53</v>
      </c>
      <c r="N44" t="s">
        <v>53</v>
      </c>
      <c r="O44" t="s">
        <v>53</v>
      </c>
      <c r="P44" t="s">
        <v>53</v>
      </c>
      <c r="Q44" t="s">
        <v>53</v>
      </c>
      <c r="R44" t="s">
        <v>53</v>
      </c>
      <c r="S44" t="s">
        <v>53</v>
      </c>
      <c r="T44" t="s">
        <v>53</v>
      </c>
      <c r="Y44" t="s">
        <v>53</v>
      </c>
      <c r="AA44" t="s">
        <v>53</v>
      </c>
      <c r="AB44" cm="1">
        <f t="array" ref="AB44">SUM(IF("X" = F44:AA44, 1, 0))</f>
        <v>13</v>
      </c>
      <c r="AC44" cm="1">
        <f t="array" ref="AC44">SUM(IF("?" = F44:AA44, 1, 0)) + AB44</f>
        <v>13</v>
      </c>
      <c r="AF44" t="b">
        <f t="shared" si="3"/>
        <v>1</v>
      </c>
      <c r="AG44" t="b">
        <f t="shared" si="4"/>
        <v>1</v>
      </c>
    </row>
    <row r="45" spans="1:33" x14ac:dyDescent="0.2">
      <c r="A45" t="s">
        <v>42</v>
      </c>
      <c r="B45">
        <v>12</v>
      </c>
      <c r="C45">
        <v>12</v>
      </c>
      <c r="D45" t="s">
        <v>43</v>
      </c>
      <c r="F45" t="s">
        <v>53</v>
      </c>
      <c r="J45" t="s">
        <v>53</v>
      </c>
      <c r="K45" t="s">
        <v>53</v>
      </c>
      <c r="L45" t="s">
        <v>53</v>
      </c>
      <c r="M45" t="s">
        <v>53</v>
      </c>
      <c r="P45" t="s">
        <v>53</v>
      </c>
      <c r="R45" t="s">
        <v>53</v>
      </c>
      <c r="U45" t="s">
        <v>53</v>
      </c>
      <c r="V45" t="s">
        <v>53</v>
      </c>
      <c r="W45" t="s">
        <v>53</v>
      </c>
      <c r="Z45" t="s">
        <v>53</v>
      </c>
      <c r="AA45" t="s">
        <v>53</v>
      </c>
      <c r="AB45" cm="1">
        <f t="array" ref="AB45">SUM(IF("X" = F45:AA45, 1, 0))</f>
        <v>12</v>
      </c>
      <c r="AC45" cm="1">
        <f t="array" ref="AC45">SUM(IF("?" = F45:AA45, 1, 0)) + AB45</f>
        <v>12</v>
      </c>
      <c r="AF45" t="b">
        <f t="shared" si="3"/>
        <v>1</v>
      </c>
      <c r="AG45" t="b">
        <f t="shared" si="4"/>
        <v>1</v>
      </c>
    </row>
    <row r="46" spans="1:33" x14ac:dyDescent="0.2">
      <c r="A46" t="s">
        <v>44</v>
      </c>
      <c r="B46">
        <v>19</v>
      </c>
      <c r="C46">
        <v>19</v>
      </c>
      <c r="F46" t="s">
        <v>53</v>
      </c>
      <c r="H46" t="s">
        <v>53</v>
      </c>
      <c r="I46" t="s">
        <v>53</v>
      </c>
      <c r="J46" t="s">
        <v>53</v>
      </c>
      <c r="K46" t="s">
        <v>53</v>
      </c>
      <c r="L46" t="s">
        <v>53</v>
      </c>
      <c r="M46" t="s">
        <v>53</v>
      </c>
      <c r="N46" t="s">
        <v>53</v>
      </c>
      <c r="O46" t="s">
        <v>53</v>
      </c>
      <c r="P46" t="s">
        <v>53</v>
      </c>
      <c r="R46" t="s">
        <v>53</v>
      </c>
      <c r="S46" t="s">
        <v>53</v>
      </c>
      <c r="T46" t="s">
        <v>53</v>
      </c>
      <c r="V46" t="s">
        <v>53</v>
      </c>
      <c r="W46" t="s">
        <v>53</v>
      </c>
      <c r="X46" t="s">
        <v>53</v>
      </c>
      <c r="Y46" t="s">
        <v>53</v>
      </c>
      <c r="Z46" t="s">
        <v>53</v>
      </c>
      <c r="AA46" t="s">
        <v>53</v>
      </c>
      <c r="AB46" cm="1">
        <f t="array" ref="AB46">SUM(IF("X" = F46:AA46, 1, 0))</f>
        <v>19</v>
      </c>
      <c r="AC46" cm="1">
        <f t="array" ref="AC46">SUM(IF("?" = F46:AA46, 1, 0)) + AB46</f>
        <v>19</v>
      </c>
      <c r="AF46" t="b">
        <f t="shared" si="3"/>
        <v>1</v>
      </c>
      <c r="AG46" t="b">
        <f t="shared" si="4"/>
        <v>1</v>
      </c>
    </row>
    <row r="47" spans="1:33" x14ac:dyDescent="0.2">
      <c r="A47" t="s">
        <v>45</v>
      </c>
      <c r="B47">
        <v>11</v>
      </c>
      <c r="C47">
        <v>11</v>
      </c>
      <c r="F47" t="s">
        <v>53</v>
      </c>
      <c r="H47" t="s">
        <v>53</v>
      </c>
      <c r="J47" t="s">
        <v>53</v>
      </c>
      <c r="K47" t="s">
        <v>53</v>
      </c>
      <c r="L47" t="s">
        <v>53</v>
      </c>
      <c r="M47" t="s">
        <v>53</v>
      </c>
      <c r="N47" t="s">
        <v>53</v>
      </c>
      <c r="O47" t="s">
        <v>53</v>
      </c>
      <c r="P47" t="s">
        <v>53</v>
      </c>
      <c r="R47" t="s">
        <v>53</v>
      </c>
      <c r="T47" t="s">
        <v>53</v>
      </c>
      <c r="AB47" cm="1">
        <f t="array" ref="AB47">SUM(IF("X" = F47:AA47, 1, 0))</f>
        <v>11</v>
      </c>
      <c r="AC47" cm="1">
        <f t="array" ref="AC47">SUM(IF("?" = F47:AA47, 1, 0)) + AB47</f>
        <v>11</v>
      </c>
      <c r="AF47" t="b">
        <f t="shared" si="3"/>
        <v>1</v>
      </c>
      <c r="AG47" t="b">
        <f t="shared" si="4"/>
        <v>1</v>
      </c>
    </row>
    <row r="48" spans="1:33" x14ac:dyDescent="0.2">
      <c r="A48" t="s">
        <v>46</v>
      </c>
      <c r="B48">
        <v>15</v>
      </c>
      <c r="C48">
        <v>15</v>
      </c>
      <c r="F48" t="s">
        <v>53</v>
      </c>
      <c r="H48" t="s">
        <v>53</v>
      </c>
      <c r="J48" t="s">
        <v>53</v>
      </c>
      <c r="K48" t="s">
        <v>53</v>
      </c>
      <c r="L48" t="s">
        <v>53</v>
      </c>
      <c r="M48" t="s">
        <v>53</v>
      </c>
      <c r="N48" t="s">
        <v>53</v>
      </c>
      <c r="O48" t="s">
        <v>53</v>
      </c>
      <c r="P48" t="s">
        <v>53</v>
      </c>
      <c r="Q48" t="s">
        <v>53</v>
      </c>
      <c r="R48" t="s">
        <v>53</v>
      </c>
      <c r="S48" t="s">
        <v>53</v>
      </c>
      <c r="T48" t="s">
        <v>53</v>
      </c>
      <c r="X48" t="s">
        <v>53</v>
      </c>
      <c r="AA48" t="s">
        <v>53</v>
      </c>
      <c r="AB48" cm="1">
        <f t="array" ref="AB48">SUM(IF("X" = F48:AA48, 1, 0))</f>
        <v>15</v>
      </c>
      <c r="AC48" cm="1">
        <f t="array" ref="AC48">SUM(IF("?" = F48:AA48, 1, 0)) + AB48</f>
        <v>15</v>
      </c>
      <c r="AF48" t="b">
        <f t="shared" si="3"/>
        <v>1</v>
      </c>
      <c r="AG48" t="b">
        <f t="shared" si="4"/>
        <v>1</v>
      </c>
    </row>
    <row r="49" spans="1:33" x14ac:dyDescent="0.2">
      <c r="A49" t="s">
        <v>47</v>
      </c>
      <c r="B49">
        <v>12</v>
      </c>
      <c r="C49">
        <v>12</v>
      </c>
      <c r="F49" t="s">
        <v>53</v>
      </c>
      <c r="G49" t="s">
        <v>53</v>
      </c>
      <c r="H49" t="s">
        <v>53</v>
      </c>
      <c r="I49" t="s">
        <v>53</v>
      </c>
      <c r="K49" t="s">
        <v>53</v>
      </c>
      <c r="L49" t="s">
        <v>53</v>
      </c>
      <c r="M49" t="s">
        <v>53</v>
      </c>
      <c r="P49" t="s">
        <v>53</v>
      </c>
      <c r="Q49" t="s">
        <v>53</v>
      </c>
      <c r="R49" t="s">
        <v>53</v>
      </c>
      <c r="S49" t="s">
        <v>53</v>
      </c>
      <c r="T49" t="s">
        <v>53</v>
      </c>
      <c r="AB49" cm="1">
        <f t="array" ref="AB49">SUM(IF("X" = F49:AA49, 1, 0))</f>
        <v>12</v>
      </c>
      <c r="AC49" cm="1">
        <f t="array" ref="AC49">SUM(IF("?" = F49:AA49, 1, 0)) + AB49</f>
        <v>12</v>
      </c>
      <c r="AF49" t="b">
        <f t="shared" si="3"/>
        <v>1</v>
      </c>
      <c r="AG49" t="b">
        <f t="shared" si="4"/>
        <v>1</v>
      </c>
    </row>
    <row r="50" spans="1:33" x14ac:dyDescent="0.2">
      <c r="A50" t="s">
        <v>48</v>
      </c>
      <c r="B50">
        <v>20</v>
      </c>
      <c r="C50">
        <v>20</v>
      </c>
      <c r="F50" t="s">
        <v>53</v>
      </c>
      <c r="G50" t="s">
        <v>53</v>
      </c>
      <c r="H50" t="s">
        <v>53</v>
      </c>
      <c r="J50" t="s">
        <v>53</v>
      </c>
      <c r="K50" t="s">
        <v>53</v>
      </c>
      <c r="L50" t="s">
        <v>53</v>
      </c>
      <c r="M50" t="s">
        <v>53</v>
      </c>
      <c r="N50" t="s">
        <v>53</v>
      </c>
      <c r="O50" t="s">
        <v>53</v>
      </c>
      <c r="P50" t="s">
        <v>53</v>
      </c>
      <c r="Q50" t="s">
        <v>53</v>
      </c>
      <c r="R50" t="s">
        <v>53</v>
      </c>
      <c r="T50" t="s">
        <v>53</v>
      </c>
      <c r="U50" t="s">
        <v>53</v>
      </c>
      <c r="V50" t="s">
        <v>53</v>
      </c>
      <c r="W50" t="s">
        <v>53</v>
      </c>
      <c r="X50" t="s">
        <v>53</v>
      </c>
      <c r="Y50" t="s">
        <v>53</v>
      </c>
      <c r="Z50" t="s">
        <v>53</v>
      </c>
      <c r="AA50" t="s">
        <v>53</v>
      </c>
      <c r="AB50" cm="1">
        <f t="array" ref="AB50">SUM(IF("X" = F50:AA50, 1, 0))</f>
        <v>20</v>
      </c>
      <c r="AC50" cm="1">
        <f t="array" ref="AC50">SUM(IF("?" = F50:AA50, 1, 0)) + AB50</f>
        <v>20</v>
      </c>
      <c r="AF50" t="b">
        <f t="shared" si="3"/>
        <v>1</v>
      </c>
      <c r="AG50" t="b">
        <f t="shared" si="4"/>
        <v>1</v>
      </c>
    </row>
    <row r="51" spans="1:33" x14ac:dyDescent="0.2">
      <c r="A51" t="s">
        <v>49</v>
      </c>
      <c r="B51">
        <v>9</v>
      </c>
      <c r="C51">
        <v>9</v>
      </c>
      <c r="P51" t="s">
        <v>53</v>
      </c>
      <c r="R51" t="s">
        <v>53</v>
      </c>
      <c r="U51" t="s">
        <v>53</v>
      </c>
      <c r="V51" t="s">
        <v>53</v>
      </c>
      <c r="W51" t="s">
        <v>53</v>
      </c>
      <c r="X51" t="s">
        <v>53</v>
      </c>
      <c r="Y51" t="s">
        <v>53</v>
      </c>
      <c r="Z51" t="s">
        <v>53</v>
      </c>
      <c r="AA51" t="s">
        <v>53</v>
      </c>
      <c r="AB51" cm="1">
        <f t="array" ref="AB51">SUM(IF("X" = F51:AA51, 1, 0))</f>
        <v>9</v>
      </c>
      <c r="AC51" cm="1">
        <f t="array" ref="AC51">SUM(IF("?" = F51:AA51, 1, 0)) + AB51</f>
        <v>9</v>
      </c>
      <c r="AF51" t="b">
        <f t="shared" si="3"/>
        <v>1</v>
      </c>
      <c r="AG51" t="b">
        <f t="shared" si="4"/>
        <v>1</v>
      </c>
    </row>
    <row r="52" spans="1:33" x14ac:dyDescent="0.2">
      <c r="A52" t="s">
        <v>50</v>
      </c>
      <c r="B52">
        <v>11</v>
      </c>
      <c r="C52">
        <v>11</v>
      </c>
      <c r="D52" t="s">
        <v>43</v>
      </c>
      <c r="F52" t="s">
        <v>53</v>
      </c>
      <c r="G52" t="s">
        <v>53</v>
      </c>
      <c r="H52" t="s">
        <v>53</v>
      </c>
      <c r="I52" t="s">
        <v>53</v>
      </c>
      <c r="O52" t="s">
        <v>53</v>
      </c>
      <c r="P52" t="s">
        <v>53</v>
      </c>
      <c r="Q52" t="s">
        <v>53</v>
      </c>
      <c r="R52" t="s">
        <v>53</v>
      </c>
      <c r="S52" t="s">
        <v>53</v>
      </c>
      <c r="U52" t="s">
        <v>53</v>
      </c>
      <c r="X52" t="s">
        <v>53</v>
      </c>
      <c r="AB52" cm="1">
        <f t="array" ref="AB52">SUM(IF("X" = F52:AA52, 1, 0))</f>
        <v>11</v>
      </c>
      <c r="AC52" cm="1">
        <f t="array" ref="AC52">SUM(IF("?" = F52:AA52, 1, 0)) + AB52</f>
        <v>11</v>
      </c>
      <c r="AF52" t="b">
        <f t="shared" si="3"/>
        <v>1</v>
      </c>
      <c r="AG52" t="b">
        <f t="shared" si="4"/>
        <v>1</v>
      </c>
    </row>
    <row r="53" spans="1:33" x14ac:dyDescent="0.2">
      <c r="A53" t="s">
        <v>51</v>
      </c>
      <c r="B53">
        <v>19</v>
      </c>
      <c r="C53">
        <v>19</v>
      </c>
      <c r="F53" t="s">
        <v>53</v>
      </c>
      <c r="G53" t="s">
        <v>53</v>
      </c>
      <c r="I53" t="s">
        <v>53</v>
      </c>
      <c r="J53" t="s">
        <v>53</v>
      </c>
      <c r="L53" t="s">
        <v>53</v>
      </c>
      <c r="M53" t="s">
        <v>53</v>
      </c>
      <c r="N53" t="s">
        <v>53</v>
      </c>
      <c r="O53" t="s">
        <v>53</v>
      </c>
      <c r="P53" t="s">
        <v>53</v>
      </c>
      <c r="Q53" t="s">
        <v>53</v>
      </c>
      <c r="R53" t="s">
        <v>53</v>
      </c>
      <c r="S53" t="s">
        <v>53</v>
      </c>
      <c r="T53" t="s">
        <v>53</v>
      </c>
      <c r="U53" t="s">
        <v>53</v>
      </c>
      <c r="V53" t="s">
        <v>53</v>
      </c>
      <c r="W53" t="s">
        <v>53</v>
      </c>
      <c r="Y53" t="s">
        <v>53</v>
      </c>
      <c r="Z53" t="s">
        <v>53</v>
      </c>
      <c r="AA53" t="s">
        <v>53</v>
      </c>
      <c r="AB53" cm="1">
        <f t="array" ref="AB53">SUM(IF("X" = F53:AA53, 1, 0))</f>
        <v>19</v>
      </c>
      <c r="AC53" cm="1">
        <f t="array" ref="AC53">SUM(IF("?" = F53:AA53, 1, 0)) + AB53</f>
        <v>19</v>
      </c>
      <c r="AF53" t="b">
        <f t="shared" si="3"/>
        <v>1</v>
      </c>
      <c r="AG53" t="b">
        <f t="shared" si="4"/>
        <v>1</v>
      </c>
    </row>
    <row r="54" spans="1:33" x14ac:dyDescent="0.2">
      <c r="A54" t="s">
        <v>52</v>
      </c>
      <c r="B54">
        <v>14</v>
      </c>
      <c r="C54">
        <v>14</v>
      </c>
      <c r="F54" t="s">
        <v>53</v>
      </c>
      <c r="G54" t="s">
        <v>53</v>
      </c>
      <c r="K54" t="s">
        <v>53</v>
      </c>
      <c r="N54" t="s">
        <v>53</v>
      </c>
      <c r="O54" t="s">
        <v>53</v>
      </c>
      <c r="P54" t="s">
        <v>53</v>
      </c>
      <c r="Q54" t="s">
        <v>53</v>
      </c>
      <c r="R54" t="s">
        <v>53</v>
      </c>
      <c r="S54" t="s">
        <v>53</v>
      </c>
      <c r="T54" t="s">
        <v>53</v>
      </c>
      <c r="U54" t="s">
        <v>53</v>
      </c>
      <c r="W54" t="s">
        <v>53</v>
      </c>
      <c r="Z54" t="s">
        <v>53</v>
      </c>
      <c r="AA54" t="s">
        <v>53</v>
      </c>
      <c r="AB54" cm="1">
        <f t="array" ref="AB54">SUM(IF("X" = F54:AA54, 1, 0))</f>
        <v>14</v>
      </c>
      <c r="AC54" cm="1">
        <f t="array" ref="AC54">SUM(IF("?" = F54:AA54, 1, 0)) + AB54</f>
        <v>14</v>
      </c>
      <c r="AF54" t="b">
        <f t="shared" si="3"/>
        <v>1</v>
      </c>
      <c r="AG54" t="b">
        <f t="shared" si="4"/>
        <v>1</v>
      </c>
    </row>
    <row r="55" spans="1:33" x14ac:dyDescent="0.2">
      <c r="A55" t="s">
        <v>61</v>
      </c>
      <c r="B55">
        <v>18</v>
      </c>
      <c r="C55">
        <v>18</v>
      </c>
      <c r="F55" t="s">
        <v>53</v>
      </c>
      <c r="G55" t="s">
        <v>53</v>
      </c>
      <c r="I55" t="s">
        <v>53</v>
      </c>
      <c r="K55" t="s">
        <v>53</v>
      </c>
      <c r="L55" t="s">
        <v>53</v>
      </c>
      <c r="M55" t="s">
        <v>53</v>
      </c>
      <c r="N55" t="s">
        <v>53</v>
      </c>
      <c r="O55" t="s">
        <v>53</v>
      </c>
      <c r="P55" t="s">
        <v>53</v>
      </c>
      <c r="Q55" t="s">
        <v>53</v>
      </c>
      <c r="R55" t="s">
        <v>53</v>
      </c>
      <c r="S55" t="s">
        <v>53</v>
      </c>
      <c r="U55" t="s">
        <v>53</v>
      </c>
      <c r="V55" t="s">
        <v>53</v>
      </c>
      <c r="W55" t="s">
        <v>53</v>
      </c>
      <c r="X55" t="s">
        <v>53</v>
      </c>
      <c r="Y55" t="s">
        <v>53</v>
      </c>
      <c r="Z55" t="s">
        <v>53</v>
      </c>
      <c r="AB55" cm="1">
        <f t="array" ref="AB55">SUM(IF("X" = F55:AA55, 1, 0))</f>
        <v>18</v>
      </c>
      <c r="AC55" cm="1">
        <f t="array" ref="AC55">SUM(IF("?" = F55:AA55, 1, 0)) + AB55</f>
        <v>18</v>
      </c>
      <c r="AF55" t="b">
        <f t="shared" si="3"/>
        <v>1</v>
      </c>
      <c r="AG55" t="b">
        <f t="shared" si="4"/>
        <v>1</v>
      </c>
    </row>
    <row r="56" spans="1:33" x14ac:dyDescent="0.2">
      <c r="A56" t="s">
        <v>62</v>
      </c>
      <c r="B56">
        <v>17</v>
      </c>
      <c r="C56">
        <v>17</v>
      </c>
      <c r="F56" t="s">
        <v>53</v>
      </c>
      <c r="G56" t="s">
        <v>53</v>
      </c>
      <c r="H56" t="s">
        <v>53</v>
      </c>
      <c r="I56" t="s">
        <v>53</v>
      </c>
      <c r="L56" t="s">
        <v>53</v>
      </c>
      <c r="M56" t="s">
        <v>53</v>
      </c>
      <c r="N56" t="s">
        <v>53</v>
      </c>
      <c r="O56" t="s">
        <v>53</v>
      </c>
      <c r="P56" t="s">
        <v>53</v>
      </c>
      <c r="Q56" t="s">
        <v>53</v>
      </c>
      <c r="R56" t="s">
        <v>53</v>
      </c>
      <c r="U56" t="s">
        <v>53</v>
      </c>
      <c r="V56" t="s">
        <v>53</v>
      </c>
      <c r="W56" t="s">
        <v>53</v>
      </c>
      <c r="X56" t="s">
        <v>53</v>
      </c>
      <c r="Y56" t="s">
        <v>53</v>
      </c>
      <c r="Z56" t="s">
        <v>53</v>
      </c>
      <c r="AB56" cm="1">
        <f t="array" ref="AB56">SUM(IF("X" = F56:AA56, 1, 0))</f>
        <v>17</v>
      </c>
      <c r="AC56" cm="1">
        <f t="array" ref="AC56">SUM(IF("?" = F56:AA56, 1, 0)) + AB56</f>
        <v>17</v>
      </c>
      <c r="AF56" t="b">
        <f t="shared" si="3"/>
        <v>1</v>
      </c>
      <c r="AG56" t="b">
        <f t="shared" si="4"/>
        <v>1</v>
      </c>
    </row>
    <row r="57" spans="1:33" x14ac:dyDescent="0.2">
      <c r="A57" t="s">
        <v>63</v>
      </c>
      <c r="B57">
        <v>13</v>
      </c>
      <c r="C57">
        <v>13</v>
      </c>
      <c r="J57" t="s">
        <v>53</v>
      </c>
      <c r="N57" t="s">
        <v>53</v>
      </c>
      <c r="O57" t="s">
        <v>53</v>
      </c>
      <c r="P57" t="s">
        <v>53</v>
      </c>
      <c r="Q57" t="s">
        <v>53</v>
      </c>
      <c r="R57" t="s">
        <v>53</v>
      </c>
      <c r="T57" t="s">
        <v>53</v>
      </c>
      <c r="V57" t="s">
        <v>53</v>
      </c>
      <c r="W57" t="s">
        <v>53</v>
      </c>
      <c r="X57" t="s">
        <v>53</v>
      </c>
      <c r="Y57" t="s">
        <v>53</v>
      </c>
      <c r="Z57" t="s">
        <v>53</v>
      </c>
      <c r="AA57" t="s">
        <v>53</v>
      </c>
      <c r="AB57" cm="1">
        <f t="array" ref="AB57">SUM(IF("X" = F57:AA57, 1, 0))</f>
        <v>13</v>
      </c>
      <c r="AC57" cm="1">
        <f t="array" ref="AC57">SUM(IF("?" = F57:AA57, 1, 0)) + AB57</f>
        <v>13</v>
      </c>
      <c r="AF57" t="b">
        <f t="shared" si="3"/>
        <v>1</v>
      </c>
      <c r="AG57" t="b">
        <f t="shared" si="4"/>
        <v>1</v>
      </c>
    </row>
    <row r="58" spans="1:33" x14ac:dyDescent="0.2">
      <c r="B58">
        <f>AVERAGE(B37:B57)</f>
        <v>15.428571428571429</v>
      </c>
      <c r="C58">
        <f>AVERAGE(C37:C57)</f>
        <v>15.619047619047619</v>
      </c>
    </row>
    <row r="59" spans="1:33" x14ac:dyDescent="0.2">
      <c r="A59">
        <f>COUNTA(A37:A57)</f>
        <v>21</v>
      </c>
    </row>
    <row r="60" spans="1:33" x14ac:dyDescent="0.2">
      <c r="E60" t="s">
        <v>59</v>
      </c>
      <c r="F60" cm="1">
        <f t="array" ref="F60">SUM(IF("X"=F2:F34,1, 0))</f>
        <v>28</v>
      </c>
      <c r="G60" cm="1">
        <f t="array" ref="G60">SUM(IF("X"=G2:G34,1, 0))</f>
        <v>32</v>
      </c>
      <c r="H60" cm="1">
        <f t="array" ref="H60">SUM(IF("X"=H2:H34,1, 0))</f>
        <v>15</v>
      </c>
      <c r="I60" cm="1">
        <f t="array" ref="I60">SUM(IF("X"=I2:I34,1, 0))</f>
        <v>15</v>
      </c>
      <c r="J60" cm="1">
        <f t="array" ref="J60">SUM(IF("X"=J2:J34,1, 0))</f>
        <v>20</v>
      </c>
      <c r="K60" cm="1">
        <f t="array" ref="K60">SUM(IF("X"=K2:K34,1, 0))</f>
        <v>21</v>
      </c>
      <c r="L60" cm="1">
        <f t="array" ref="L60">SUM(IF("X"=L2:L34,1, 0))</f>
        <v>14</v>
      </c>
      <c r="M60" cm="1">
        <f t="array" ref="M60">SUM(IF("X"=M2:M34,1, 0))</f>
        <v>22</v>
      </c>
      <c r="N60" cm="1">
        <f t="array" ref="N60">SUM(IF("X"=N2:N34,1, 0))</f>
        <v>27</v>
      </c>
      <c r="O60" cm="1">
        <f t="array" ref="O60">SUM(IF("X"=O2:O34,1, 0))</f>
        <v>14</v>
      </c>
      <c r="P60" cm="1">
        <f t="array" ref="P60">SUM(IF("X"=P2:P34,1, 0))</f>
        <v>26</v>
      </c>
      <c r="Q60" cm="1">
        <f t="array" ref="Q60">SUM(IF("X"=Q2:Q34,1, 0))</f>
        <v>27</v>
      </c>
      <c r="R60" cm="1">
        <f t="array" ref="R60">SUM(IF("X"=R2:R34,1, 0))</f>
        <v>32</v>
      </c>
      <c r="S60" cm="1">
        <f t="array" ref="S60">SUM(IF("X"=S2:S34,1, 0))</f>
        <v>3</v>
      </c>
      <c r="T60" cm="1">
        <f t="array" ref="T60">SUM(IF("X"=T2:T34,1, 0))</f>
        <v>32</v>
      </c>
      <c r="U60" cm="1">
        <f t="array" ref="U60">SUM(IF("X"=U2:U34,1, 0))</f>
        <v>30</v>
      </c>
      <c r="V60" cm="1">
        <f t="array" ref="V60">SUM(IF("X"=V2:V34,1, 0))</f>
        <v>18</v>
      </c>
      <c r="W60" cm="1">
        <f t="array" ref="W60">SUM(IF("X"=W2:W34,1, 0))</f>
        <v>27</v>
      </c>
      <c r="X60" cm="1">
        <f t="array" ref="X60">SUM(IF("X"=X2:X34,1, 0))</f>
        <v>9</v>
      </c>
      <c r="Y60" cm="1">
        <f t="array" ref="Y60">SUM(IF("X"=Y2:Y34,1, 0))</f>
        <v>20</v>
      </c>
      <c r="Z60" cm="1">
        <f t="array" ref="Z60">SUM(IF("X"=Z2:Z34,1, 0))</f>
        <v>13</v>
      </c>
      <c r="AA60" cm="1">
        <f t="array" ref="AA60">SUM(IF("X"=AA2:AA34,1, 0))</f>
        <v>15</v>
      </c>
    </row>
    <row r="61" spans="1:33" x14ac:dyDescent="0.2">
      <c r="F61" s="1">
        <f>F60/33</f>
        <v>0.84848484848484851</v>
      </c>
      <c r="G61" s="1">
        <f t="shared" ref="G61:AA61" si="5">G60/33</f>
        <v>0.96969696969696972</v>
      </c>
      <c r="H61" s="1">
        <f t="shared" si="5"/>
        <v>0.45454545454545453</v>
      </c>
      <c r="I61" s="1">
        <f t="shared" si="5"/>
        <v>0.45454545454545453</v>
      </c>
      <c r="J61" s="1">
        <f t="shared" si="5"/>
        <v>0.60606060606060608</v>
      </c>
      <c r="K61" s="1">
        <f t="shared" si="5"/>
        <v>0.63636363636363635</v>
      </c>
      <c r="L61" s="1">
        <f t="shared" si="5"/>
        <v>0.42424242424242425</v>
      </c>
      <c r="M61" s="1">
        <f t="shared" si="5"/>
        <v>0.66666666666666663</v>
      </c>
      <c r="N61" s="1">
        <f t="shared" si="5"/>
        <v>0.81818181818181823</v>
      </c>
      <c r="O61" s="1">
        <f t="shared" si="5"/>
        <v>0.42424242424242425</v>
      </c>
      <c r="P61" s="1">
        <f t="shared" si="5"/>
        <v>0.78787878787878785</v>
      </c>
      <c r="Q61" s="1">
        <f t="shared" si="5"/>
        <v>0.81818181818181823</v>
      </c>
      <c r="R61" s="1">
        <f t="shared" si="5"/>
        <v>0.96969696969696972</v>
      </c>
      <c r="S61" s="1">
        <f t="shared" si="5"/>
        <v>9.0909090909090912E-2</v>
      </c>
      <c r="T61" s="1">
        <f t="shared" si="5"/>
        <v>0.96969696969696972</v>
      </c>
      <c r="U61" s="1">
        <f t="shared" si="5"/>
        <v>0.90909090909090906</v>
      </c>
      <c r="V61" s="1">
        <f t="shared" si="5"/>
        <v>0.54545454545454541</v>
      </c>
      <c r="W61" s="1">
        <f t="shared" si="5"/>
        <v>0.81818181818181823</v>
      </c>
      <c r="X61" s="1">
        <f t="shared" si="5"/>
        <v>0.27272727272727271</v>
      </c>
      <c r="Y61" s="1">
        <f t="shared" si="5"/>
        <v>0.60606060606060608</v>
      </c>
      <c r="Z61" s="1">
        <f t="shared" si="5"/>
        <v>0.39393939393939392</v>
      </c>
      <c r="AA61" s="1">
        <f t="shared" si="5"/>
        <v>0.45454545454545453</v>
      </c>
    </row>
    <row r="62" spans="1:33" x14ac:dyDescent="0.2">
      <c r="H62" t="s">
        <v>53</v>
      </c>
      <c r="I62" t="s">
        <v>53</v>
      </c>
      <c r="L62" t="s">
        <v>53</v>
      </c>
      <c r="O62" t="s">
        <v>53</v>
      </c>
      <c r="S62" t="s">
        <v>53</v>
      </c>
      <c r="X62" t="s">
        <v>53</v>
      </c>
      <c r="Z62" t="s">
        <v>53</v>
      </c>
      <c r="AA62" t="s">
        <v>53</v>
      </c>
    </row>
    <row r="63" spans="1:33" x14ac:dyDescent="0.2">
      <c r="E63" t="s">
        <v>60</v>
      </c>
      <c r="F63" cm="1">
        <f t="array" ref="F63">SUM(IF("X"=F37:F57,1, 0))</f>
        <v>19</v>
      </c>
      <c r="G63" cm="1">
        <f t="array" ref="G63">SUM(IF("X"=G37:G57,1, 0))</f>
        <v>15</v>
      </c>
      <c r="H63" cm="1">
        <f t="array" ref="H63">SUM(IF("X"=H37:H57,1, 0))</f>
        <v>11</v>
      </c>
      <c r="I63" cm="1">
        <f t="array" ref="I63">SUM(IF("X"=I37:I57,1, 0))</f>
        <v>11</v>
      </c>
      <c r="J63" cm="1">
        <f t="array" ref="J63">SUM(IF("X"=J37:J57,1, 0))</f>
        <v>14</v>
      </c>
      <c r="K63" cm="1">
        <f t="array" ref="K63">SUM(IF("X"=K37:K57,1, 0))</f>
        <v>15</v>
      </c>
      <c r="L63" cm="1">
        <f t="array" ref="L63">SUM(IF("X"=L37:L57,1, 0))</f>
        <v>13</v>
      </c>
      <c r="M63" cm="1">
        <f t="array" ref="M63">SUM(IF("X"=M37:M57,1, 0))</f>
        <v>14</v>
      </c>
      <c r="N63" cm="1">
        <f t="array" ref="N63">SUM(IF("X"=N37:N57,1, 0))</f>
        <v>15</v>
      </c>
      <c r="O63" cm="1">
        <f t="array" ref="O63">SUM(IF("X"=O37:O57,1, 0))</f>
        <v>18</v>
      </c>
      <c r="P63" cm="1">
        <f t="array" ref="P63">SUM(IF("X"=P37:P57,1, 0))</f>
        <v>21</v>
      </c>
      <c r="Q63" cm="1">
        <f t="array" ref="Q63">SUM(IF("X"=Q37:Q57,1, 0))</f>
        <v>17</v>
      </c>
      <c r="R63" cm="1">
        <f t="array" ref="R63">SUM(IF("X"=R37:R57,1, 0))</f>
        <v>20</v>
      </c>
      <c r="S63" cm="1">
        <f t="array" ref="S63">SUM(IF("X"=S37:S57,1, 0))</f>
        <v>13</v>
      </c>
      <c r="T63" cm="1">
        <f t="array" ref="T63">SUM(IF("X"=T37:T57,1, 0))</f>
        <v>11</v>
      </c>
      <c r="U63" cm="1">
        <f t="array" ref="U63">SUM(IF("X"=U37:U57,1, 0))</f>
        <v>12</v>
      </c>
      <c r="V63" cm="1">
        <f t="array" ref="V63">SUM(IF("X"=V37:V57,1, 0))</f>
        <v>14</v>
      </c>
      <c r="W63" cm="1">
        <f t="array" ref="W63">SUM(IF("X"=W37:W57,1, 0))</f>
        <v>16</v>
      </c>
      <c r="X63" cm="1">
        <f t="array" ref="X63">SUM(IF("X"=X37:X57,1, 0))</f>
        <v>12</v>
      </c>
      <c r="Y63" cm="1">
        <f t="array" ref="Y63">SUM(IF("X"=Y37:Y57,1, 0))</f>
        <v>15</v>
      </c>
      <c r="Z63" cm="1">
        <f t="array" ref="Z63">SUM(IF("X"=Z37:Z57,1, 0))</f>
        <v>16</v>
      </c>
      <c r="AA63" cm="1">
        <f t="array" ref="AA63">SUM(IF("X"=AA37:AA57,1, 0))</f>
        <v>16</v>
      </c>
    </row>
    <row r="64" spans="1:33" x14ac:dyDescent="0.2">
      <c r="F64" s="1">
        <f>F63/$A$59</f>
        <v>0.90476190476190477</v>
      </c>
      <c r="G64" s="1">
        <f t="shared" ref="G64:AA64" si="6">G63/$A$59</f>
        <v>0.7142857142857143</v>
      </c>
      <c r="H64" s="1">
        <f t="shared" si="6"/>
        <v>0.52380952380952384</v>
      </c>
      <c r="I64" s="1">
        <f t="shared" si="6"/>
        <v>0.52380952380952384</v>
      </c>
      <c r="J64" s="1">
        <f t="shared" si="6"/>
        <v>0.66666666666666663</v>
      </c>
      <c r="K64" s="1">
        <f t="shared" si="6"/>
        <v>0.7142857142857143</v>
      </c>
      <c r="L64" s="1">
        <f t="shared" si="6"/>
        <v>0.61904761904761907</v>
      </c>
      <c r="M64" s="1">
        <f t="shared" si="6"/>
        <v>0.66666666666666663</v>
      </c>
      <c r="N64" s="1">
        <f t="shared" si="6"/>
        <v>0.7142857142857143</v>
      </c>
      <c r="O64" s="1">
        <f t="shared" si="6"/>
        <v>0.8571428571428571</v>
      </c>
      <c r="P64" s="1">
        <f t="shared" si="6"/>
        <v>1</v>
      </c>
      <c r="Q64" s="1">
        <f t="shared" si="6"/>
        <v>0.80952380952380953</v>
      </c>
      <c r="R64" s="1">
        <f t="shared" si="6"/>
        <v>0.95238095238095233</v>
      </c>
      <c r="S64" s="1">
        <f t="shared" si="6"/>
        <v>0.61904761904761907</v>
      </c>
      <c r="T64" s="1">
        <f t="shared" si="6"/>
        <v>0.52380952380952384</v>
      </c>
      <c r="U64" s="1">
        <f t="shared" si="6"/>
        <v>0.5714285714285714</v>
      </c>
      <c r="V64" s="1">
        <f t="shared" si="6"/>
        <v>0.66666666666666663</v>
      </c>
      <c r="W64" s="1">
        <f t="shared" si="6"/>
        <v>0.76190476190476186</v>
      </c>
      <c r="X64" s="1">
        <f t="shared" si="6"/>
        <v>0.5714285714285714</v>
      </c>
      <c r="Y64" s="1">
        <f t="shared" si="6"/>
        <v>0.7142857142857143</v>
      </c>
      <c r="Z64" s="1">
        <f t="shared" si="6"/>
        <v>0.76190476190476186</v>
      </c>
      <c r="AA64" s="1">
        <f t="shared" si="6"/>
        <v>0.76190476190476186</v>
      </c>
    </row>
    <row r="66" spans="1:29" x14ac:dyDescent="0.2">
      <c r="A66" t="s">
        <v>58</v>
      </c>
      <c r="B66">
        <v>17</v>
      </c>
      <c r="C66">
        <v>21</v>
      </c>
      <c r="F66" t="s">
        <v>53</v>
      </c>
      <c r="G66" t="s">
        <v>53</v>
      </c>
      <c r="H66" t="s">
        <v>43</v>
      </c>
      <c r="I66" t="s">
        <v>53</v>
      </c>
      <c r="J66" t="s">
        <v>53</v>
      </c>
      <c r="K66" t="s">
        <v>53</v>
      </c>
      <c r="L66" t="s">
        <v>53</v>
      </c>
      <c r="M66" t="s">
        <v>53</v>
      </c>
      <c r="N66" t="s">
        <v>53</v>
      </c>
      <c r="O66" t="s">
        <v>53</v>
      </c>
      <c r="P66" t="s">
        <v>53</v>
      </c>
      <c r="R66" t="s">
        <v>53</v>
      </c>
      <c r="S66" t="s">
        <v>43</v>
      </c>
      <c r="T66" t="s">
        <v>53</v>
      </c>
      <c r="U66" t="s">
        <v>53</v>
      </c>
      <c r="V66" t="s">
        <v>53</v>
      </c>
      <c r="W66" t="s">
        <v>53</v>
      </c>
      <c r="X66" t="s">
        <v>53</v>
      </c>
      <c r="Y66" t="s">
        <v>53</v>
      </c>
      <c r="Z66" t="s">
        <v>53</v>
      </c>
      <c r="AA66" t="s">
        <v>53</v>
      </c>
      <c r="AB66" cm="1">
        <f t="array" ref="AB66">SUM(IF("X" = F66:AA66, 1, 0))</f>
        <v>19</v>
      </c>
      <c r="AC66" cm="1">
        <f t="array" ref="AC66">SUM(IF("?" = F66:AA66, 1, 0)) + AB66</f>
        <v>21</v>
      </c>
    </row>
    <row r="68" spans="1:29" x14ac:dyDescent="0.2">
      <c r="F68" s="1">
        <f>F64-F61</f>
        <v>5.6277056277056259E-2</v>
      </c>
      <c r="G68" s="2">
        <f t="shared" ref="G68:AA68" si="7">G64-G61</f>
        <v>-0.25541125541125542</v>
      </c>
      <c r="H68" s="1">
        <f t="shared" si="7"/>
        <v>6.9264069264069306E-2</v>
      </c>
      <c r="I68" s="1">
        <f t="shared" si="7"/>
        <v>6.9264069264069306E-2</v>
      </c>
      <c r="J68" s="1">
        <f t="shared" si="7"/>
        <v>6.0606060606060552E-2</v>
      </c>
      <c r="K68" s="1">
        <f t="shared" si="7"/>
        <v>7.7922077922077948E-2</v>
      </c>
      <c r="L68" s="1">
        <f t="shared" si="7"/>
        <v>0.19480519480519481</v>
      </c>
      <c r="M68" s="1">
        <f t="shared" si="7"/>
        <v>0</v>
      </c>
      <c r="N68" s="2">
        <f t="shared" si="7"/>
        <v>-0.10389610389610393</v>
      </c>
      <c r="O68" s="1">
        <f t="shared" si="7"/>
        <v>0.43290043290043284</v>
      </c>
      <c r="P68" s="1">
        <f t="shared" si="7"/>
        <v>0.21212121212121215</v>
      </c>
      <c r="Q68" s="2">
        <f t="shared" si="7"/>
        <v>-8.6580086580086979E-3</v>
      </c>
      <c r="R68" s="2">
        <f t="shared" si="7"/>
        <v>-1.7316017316017396E-2</v>
      </c>
      <c r="S68" s="1">
        <f t="shared" si="7"/>
        <v>0.52813852813852813</v>
      </c>
      <c r="T68" s="2">
        <f t="shared" si="7"/>
        <v>-0.44588744588744589</v>
      </c>
      <c r="U68" s="2">
        <f t="shared" si="7"/>
        <v>-0.33766233766233766</v>
      </c>
      <c r="V68" s="1">
        <f t="shared" si="7"/>
        <v>0.12121212121212122</v>
      </c>
      <c r="W68" s="2">
        <f t="shared" si="7"/>
        <v>-5.627705627705637E-2</v>
      </c>
      <c r="X68" s="1">
        <f t="shared" si="7"/>
        <v>0.29870129870129869</v>
      </c>
      <c r="Y68" s="1">
        <f t="shared" si="7"/>
        <v>0.10822510822510822</v>
      </c>
      <c r="Z68" s="1">
        <f t="shared" si="7"/>
        <v>0.36796536796536794</v>
      </c>
      <c r="AA68" s="1">
        <f t="shared" si="7"/>
        <v>0.30735930735930733</v>
      </c>
    </row>
    <row r="69" spans="1:29" x14ac:dyDescent="0.2">
      <c r="G69" t="s">
        <v>53</v>
      </c>
      <c r="N69" t="s">
        <v>53</v>
      </c>
      <c r="Q69" t="s">
        <v>53</v>
      </c>
      <c r="R69" t="s">
        <v>53</v>
      </c>
      <c r="T69" t="s">
        <v>53</v>
      </c>
      <c r="U69" t="s">
        <v>53</v>
      </c>
      <c r="W69" t="s">
        <v>53</v>
      </c>
    </row>
    <row r="72" spans="1:29" x14ac:dyDescent="0.2">
      <c r="F72" s="6">
        <f>(F64/F61)</f>
        <v>1.0663265306122449</v>
      </c>
      <c r="G72" s="6">
        <f t="shared" ref="G72:AA72" si="8">(G64/G61)</f>
        <v>0.7366071428571429</v>
      </c>
      <c r="H72" s="6">
        <f t="shared" si="8"/>
        <v>1.1523809523809525</v>
      </c>
      <c r="I72" s="6">
        <f t="shared" si="8"/>
        <v>1.1523809523809525</v>
      </c>
      <c r="J72" s="6">
        <f t="shared" si="8"/>
        <v>1.0999999999999999</v>
      </c>
      <c r="K72" s="6">
        <f t="shared" si="8"/>
        <v>1.1224489795918369</v>
      </c>
      <c r="L72" s="6">
        <f t="shared" si="8"/>
        <v>1.4591836734693877</v>
      </c>
      <c r="M72" s="6">
        <f t="shared" si="8"/>
        <v>1</v>
      </c>
      <c r="N72" s="6">
        <f t="shared" si="8"/>
        <v>0.87301587301587302</v>
      </c>
      <c r="O72" s="6">
        <f t="shared" si="8"/>
        <v>2.0204081632653059</v>
      </c>
      <c r="P72" s="6">
        <f t="shared" si="8"/>
        <v>1.2692307692307694</v>
      </c>
      <c r="Q72" s="6">
        <f t="shared" si="8"/>
        <v>0.98941798941798942</v>
      </c>
      <c r="R72" s="6">
        <f t="shared" si="8"/>
        <v>0.9821428571428571</v>
      </c>
      <c r="S72" s="6">
        <f t="shared" si="8"/>
        <v>6.8095238095238093</v>
      </c>
      <c r="T72" s="6">
        <f t="shared" si="8"/>
        <v>0.5401785714285714</v>
      </c>
      <c r="U72" s="6">
        <f t="shared" si="8"/>
        <v>0.62857142857142856</v>
      </c>
      <c r="V72" s="6">
        <f t="shared" si="8"/>
        <v>1.2222222222222223</v>
      </c>
      <c r="W72" s="6">
        <f t="shared" si="8"/>
        <v>0.93121693121693105</v>
      </c>
      <c r="X72" s="6">
        <f t="shared" si="8"/>
        <v>2.0952380952380953</v>
      </c>
      <c r="Y72" s="6">
        <f t="shared" si="8"/>
        <v>1.1785714285714286</v>
      </c>
      <c r="Z72" s="6">
        <f t="shared" si="8"/>
        <v>1.9340659340659341</v>
      </c>
      <c r="AA72" s="6">
        <f t="shared" si="8"/>
        <v>1.6761904761904762</v>
      </c>
      <c r="AC72">
        <f>PRODUCT((F72:AA72))</f>
        <v>86.126650163738518</v>
      </c>
    </row>
    <row r="74" spans="1:29" x14ac:dyDescent="0.2">
      <c r="F74">
        <f>((F60)/(33))/((F63)/($A$59))</f>
        <v>0.93779904306220097</v>
      </c>
      <c r="G74">
        <f t="shared" ref="G74:AA74" si="9">((G60)/(33))/((G63)/($A$59))</f>
        <v>1.3575757575757577</v>
      </c>
      <c r="H74">
        <f t="shared" si="9"/>
        <v>0.8677685950413222</v>
      </c>
      <c r="I74">
        <f t="shared" si="9"/>
        <v>0.8677685950413222</v>
      </c>
      <c r="J74">
        <f t="shared" si="9"/>
        <v>0.90909090909090917</v>
      </c>
      <c r="K74">
        <f t="shared" si="9"/>
        <v>0.89090909090909087</v>
      </c>
      <c r="L74">
        <f t="shared" si="9"/>
        <v>0.68531468531468531</v>
      </c>
      <c r="M74">
        <f t="shared" si="9"/>
        <v>1</v>
      </c>
      <c r="N74">
        <f t="shared" si="9"/>
        <v>1.1454545454545455</v>
      </c>
      <c r="O74">
        <f t="shared" si="9"/>
        <v>0.49494949494949497</v>
      </c>
      <c r="P74">
        <f t="shared" si="9"/>
        <v>0.78787878787878785</v>
      </c>
      <c r="Q74">
        <f t="shared" si="9"/>
        <v>1.0106951871657754</v>
      </c>
      <c r="R74">
        <f t="shared" si="9"/>
        <v>1.0181818181818183</v>
      </c>
      <c r="S74">
        <f t="shared" si="9"/>
        <v>0.14685314685314685</v>
      </c>
      <c r="T74">
        <f t="shared" si="9"/>
        <v>1.8512396694214877</v>
      </c>
      <c r="U74">
        <f t="shared" si="9"/>
        <v>1.5909090909090911</v>
      </c>
      <c r="V74">
        <f t="shared" si="9"/>
        <v>0.81818181818181812</v>
      </c>
      <c r="W74">
        <f t="shared" si="9"/>
        <v>1.0738636363636365</v>
      </c>
      <c r="X74">
        <f t="shared" si="9"/>
        <v>0.47727272727272724</v>
      </c>
      <c r="Y74">
        <f t="shared" si="9"/>
        <v>0.84848484848484851</v>
      </c>
      <c r="Z74">
        <f t="shared" si="9"/>
        <v>0.51704545454545459</v>
      </c>
      <c r="AA74">
        <f t="shared" si="9"/>
        <v>0.59659090909090906</v>
      </c>
      <c r="AC74">
        <f>PRODUCT((F74:AA74))</f>
        <v>1.1610808014695381E-2</v>
      </c>
    </row>
    <row r="75" spans="1:29" x14ac:dyDescent="0.2">
      <c r="F75">
        <f>((F60+1)/(33+2))/((F63+1)/($A$59+2))</f>
        <v>0.95285714285714296</v>
      </c>
      <c r="G75">
        <f t="shared" ref="G75:Z75" si="10">((G60+1)/(33+2))/((G63+1)/($A$59+2))</f>
        <v>1.3553571428571429</v>
      </c>
      <c r="H75">
        <f t="shared" si="10"/>
        <v>0.87619047619047619</v>
      </c>
      <c r="I75">
        <f t="shared" si="10"/>
        <v>0.87619047619047619</v>
      </c>
      <c r="J75">
        <f t="shared" si="10"/>
        <v>0.91999999999999993</v>
      </c>
      <c r="K75">
        <f t="shared" si="10"/>
        <v>0.90357142857142858</v>
      </c>
      <c r="L75">
        <f t="shared" si="10"/>
        <v>0.70408163265306112</v>
      </c>
      <c r="M75">
        <f t="shared" si="10"/>
        <v>1.0076190476190476</v>
      </c>
      <c r="N75">
        <f t="shared" si="10"/>
        <v>1.1500000000000001</v>
      </c>
      <c r="O75">
        <f t="shared" si="10"/>
        <v>0.51879699248120292</v>
      </c>
      <c r="P75">
        <f t="shared" si="10"/>
        <v>0.80649350649350648</v>
      </c>
      <c r="Q75">
        <f t="shared" si="10"/>
        <v>1.0222222222222221</v>
      </c>
      <c r="R75">
        <f t="shared" si="10"/>
        <v>1.0326530612244897</v>
      </c>
      <c r="S75">
        <f t="shared" si="10"/>
        <v>0.1877551020408163</v>
      </c>
      <c r="T75">
        <f t="shared" si="10"/>
        <v>1.8071428571428572</v>
      </c>
      <c r="U75">
        <f t="shared" si="10"/>
        <v>1.567032967032967</v>
      </c>
      <c r="V75">
        <f t="shared" si="10"/>
        <v>0.83238095238095233</v>
      </c>
      <c r="W75">
        <f t="shared" si="10"/>
        <v>1.0823529411764707</v>
      </c>
      <c r="X75">
        <f t="shared" si="10"/>
        <v>0.50549450549450547</v>
      </c>
      <c r="Y75">
        <f t="shared" si="10"/>
        <v>0.86250000000000004</v>
      </c>
      <c r="Z75">
        <f t="shared" si="10"/>
        <v>0.54117647058823537</v>
      </c>
      <c r="AA75">
        <f>((AA60+1)/(33+2))/((AA63+1)/($A$59+2))</f>
        <v>0.61848739495798322</v>
      </c>
      <c r="AC75">
        <f>PRODUCT((F75:AA75))</f>
        <v>2.0760744480713082E-2</v>
      </c>
    </row>
    <row r="78" spans="1:29" x14ac:dyDescent="0.2">
      <c r="F78">
        <f>1/((F63+1)/(F63+F60+2))</f>
        <v>2.4499999999999997</v>
      </c>
      <c r="G78">
        <f t="shared" ref="G78:Z78" si="11">1/((G63+1)/(G63+G60+2))</f>
        <v>3.0625000000000004</v>
      </c>
      <c r="H78">
        <f t="shared" si="11"/>
        <v>2.3333333333333335</v>
      </c>
      <c r="I78">
        <f t="shared" si="11"/>
        <v>2.3333333333333335</v>
      </c>
      <c r="J78">
        <f t="shared" si="11"/>
        <v>2.4</v>
      </c>
      <c r="K78">
        <f t="shared" si="11"/>
        <v>2.375</v>
      </c>
      <c r="L78">
        <f t="shared" si="11"/>
        <v>2.0714285714285712</v>
      </c>
      <c r="M78">
        <f t="shared" si="11"/>
        <v>2.5333333333333332</v>
      </c>
      <c r="N78">
        <f t="shared" si="11"/>
        <v>2.75</v>
      </c>
      <c r="O78">
        <f t="shared" si="11"/>
        <v>1.7894736842105263</v>
      </c>
      <c r="P78">
        <f t="shared" si="11"/>
        <v>2.2272727272727271</v>
      </c>
      <c r="Q78">
        <f t="shared" si="11"/>
        <v>2.5555555555555554</v>
      </c>
      <c r="R78">
        <f t="shared" si="11"/>
        <v>2.5714285714285712</v>
      </c>
      <c r="S78">
        <f t="shared" si="11"/>
        <v>1.2857142857142856</v>
      </c>
      <c r="T78">
        <f t="shared" si="11"/>
        <v>3.75</v>
      </c>
      <c r="U78">
        <f t="shared" si="11"/>
        <v>3.3846153846153846</v>
      </c>
      <c r="V78">
        <f t="shared" si="11"/>
        <v>2.2666666666666666</v>
      </c>
      <c r="W78">
        <f t="shared" si="11"/>
        <v>2.6470588235294117</v>
      </c>
      <c r="X78">
        <f t="shared" si="11"/>
        <v>1.7692307692307694</v>
      </c>
      <c r="Y78">
        <f t="shared" si="11"/>
        <v>2.3125</v>
      </c>
      <c r="Z78">
        <f t="shared" si="11"/>
        <v>1.8235294117647061</v>
      </c>
      <c r="AA78">
        <f>1/((AA63+1)/(AA63+AA60+2))</f>
        <v>1.9411764705882353</v>
      </c>
      <c r="AC78">
        <f>PRODUCT((F78:AA78))</f>
        <v>124797083.59682071</v>
      </c>
    </row>
    <row r="82" spans="6:29" x14ac:dyDescent="0.2">
      <c r="F82">
        <f ca="1">_xlfn.NORM.INV(RAND(),0,STDEV($F74:$AA74))</f>
        <v>-0.60350026438064897</v>
      </c>
      <c r="G82">
        <f t="shared" ref="G82:AA82" ca="1" si="12">_xlfn.NORM.INV(RAND(),0,STDEV($F74:$AA74))</f>
        <v>-0.16025955585115761</v>
      </c>
      <c r="H82">
        <f t="shared" ca="1" si="12"/>
        <v>-0.52108248322589679</v>
      </c>
      <c r="I82">
        <f t="shared" ca="1" si="12"/>
        <v>-6.3630183529455778E-2</v>
      </c>
      <c r="J82">
        <f t="shared" ca="1" si="12"/>
        <v>0.13065552501593469</v>
      </c>
      <c r="K82">
        <f t="shared" ca="1" si="12"/>
        <v>0.68288489638948513</v>
      </c>
      <c r="L82">
        <f t="shared" ca="1" si="12"/>
        <v>0.49835643204175961</v>
      </c>
      <c r="M82">
        <f t="shared" ca="1" si="12"/>
        <v>0.14716848972144969</v>
      </c>
      <c r="N82">
        <f t="shared" ca="1" si="12"/>
        <v>-8.7241058470794539E-2</v>
      </c>
      <c r="O82">
        <f t="shared" ca="1" si="12"/>
        <v>9.9755454472030929E-3</v>
      </c>
      <c r="P82">
        <f t="shared" ca="1" si="12"/>
        <v>8.4944940083775691E-2</v>
      </c>
      <c r="Q82">
        <f t="shared" ca="1" si="12"/>
        <v>5.4772140161220603E-2</v>
      </c>
      <c r="R82">
        <f t="shared" ca="1" si="12"/>
        <v>-0.10847673705935452</v>
      </c>
      <c r="S82">
        <f t="shared" ca="1" si="12"/>
        <v>0.12577781095059001</v>
      </c>
      <c r="T82">
        <f t="shared" ca="1" si="12"/>
        <v>0.39653075917351671</v>
      </c>
      <c r="U82">
        <f t="shared" ca="1" si="12"/>
        <v>0.42028835652637625</v>
      </c>
      <c r="V82">
        <f t="shared" ca="1" si="12"/>
        <v>-0.33408474972104046</v>
      </c>
      <c r="W82">
        <f t="shared" ca="1" si="12"/>
        <v>0.21861806409009207</v>
      </c>
      <c r="X82">
        <f t="shared" ca="1" si="12"/>
        <v>-0.24352546741740608</v>
      </c>
      <c r="Y82">
        <f t="shared" ca="1" si="12"/>
        <v>0.25398936333789035</v>
      </c>
      <c r="Z82">
        <f t="shared" ca="1" si="12"/>
        <v>-0.16273988267739295</v>
      </c>
      <c r="AA82">
        <f t="shared" ca="1" si="12"/>
        <v>0.19726994081132038</v>
      </c>
    </row>
    <row r="83" spans="6:29" x14ac:dyDescent="0.2">
      <c r="F83">
        <f ca="1">_xlfn.NORM.INV(RAND(),0,STDEV($F75:$AA75))</f>
        <v>3.313209556938565E-2</v>
      </c>
      <c r="G83">
        <f t="shared" ref="G83:AA83" ca="1" si="13">_xlfn.NORM.INV(RAND(),0,STDEV($F75:$AA75))</f>
        <v>9.6764527687813809E-4</v>
      </c>
      <c r="H83">
        <f t="shared" ca="1" si="13"/>
        <v>-0.17240849576906767</v>
      </c>
      <c r="I83">
        <f t="shared" ca="1" si="13"/>
        <v>-0.61774894727069773</v>
      </c>
      <c r="J83">
        <f t="shared" ca="1" si="13"/>
        <v>0.43670088079563818</v>
      </c>
      <c r="K83">
        <f t="shared" ca="1" si="13"/>
        <v>-3.3233266091079579E-2</v>
      </c>
      <c r="L83">
        <f t="shared" ca="1" si="13"/>
        <v>0.17072112263687134</v>
      </c>
      <c r="M83">
        <f t="shared" ca="1" si="13"/>
        <v>0.2661343366185</v>
      </c>
      <c r="N83">
        <f t="shared" ca="1" si="13"/>
        <v>-0.14414331360775753</v>
      </c>
      <c r="O83">
        <f t="shared" ca="1" si="13"/>
        <v>0.47184483544759737</v>
      </c>
      <c r="P83">
        <f t="shared" ca="1" si="13"/>
        <v>-0.10397113894472244</v>
      </c>
      <c r="Q83">
        <f t="shared" ca="1" si="13"/>
        <v>0.77812327642135337</v>
      </c>
      <c r="R83">
        <f t="shared" ca="1" si="13"/>
        <v>0.10099445998535658</v>
      </c>
      <c r="S83">
        <f t="shared" ca="1" si="13"/>
        <v>0.49305111089671116</v>
      </c>
      <c r="T83">
        <f t="shared" ca="1" si="13"/>
        <v>0.22669004113970634</v>
      </c>
      <c r="U83">
        <f t="shared" ca="1" si="13"/>
        <v>3.8507642150972577E-3</v>
      </c>
      <c r="V83">
        <f t="shared" ca="1" si="13"/>
        <v>-1.7557223021163883E-2</v>
      </c>
      <c r="W83">
        <f t="shared" ca="1" si="13"/>
        <v>0.48008044274879486</v>
      </c>
      <c r="X83">
        <f t="shared" ca="1" si="13"/>
        <v>-1.0215781813535867</v>
      </c>
      <c r="Y83">
        <f t="shared" ca="1" si="13"/>
        <v>-0.22101880571012628</v>
      </c>
      <c r="Z83">
        <f t="shared" ca="1" si="13"/>
        <v>-0.32032176164589515</v>
      </c>
      <c r="AA83">
        <f t="shared" ca="1" si="13"/>
        <v>0.29047767502672733</v>
      </c>
    </row>
    <row r="85" spans="6:29" x14ac:dyDescent="0.2">
      <c r="AB85" t="s">
        <v>86</v>
      </c>
      <c r="AC85">
        <f ca="1">_xlfn.T.TEST(F74:AA74,F82:AA82,2,3)</f>
        <v>3.1174350016415759E-10</v>
      </c>
    </row>
    <row r="86" spans="6:29" x14ac:dyDescent="0.2">
      <c r="AC86">
        <f ca="1">_xlfn.T.TEST(F75:AA75,F83:AA83,2,3)</f>
        <v>2.2961960950005932E-9</v>
      </c>
    </row>
    <row r="113" spans="6:8" x14ac:dyDescent="0.2">
      <c r="F113">
        <f ca="1">_xlfn.NORM.INV(RAND(),0,STDEV($F$74:$AA$74))</f>
        <v>4.7271699399771397E-2</v>
      </c>
      <c r="H113">
        <f ca="1">_xlfn.T.TEST(F113:F346,F74:AA74,2,3)</f>
        <v>1.5861728520252408E-10</v>
      </c>
    </row>
    <row r="114" spans="6:8" x14ac:dyDescent="0.2">
      <c r="F114">
        <f t="shared" ref="F114:F177" ca="1" si="14">_xlfn.NORM.INV(RAND(),0,STDEV($F$74:$AA$74))</f>
        <v>-0.45282711760810951</v>
      </c>
    </row>
    <row r="115" spans="6:8" x14ac:dyDescent="0.2">
      <c r="F115">
        <f t="shared" ca="1" si="14"/>
        <v>8.6600700646653594E-2</v>
      </c>
    </row>
    <row r="116" spans="6:8" x14ac:dyDescent="0.2">
      <c r="F116">
        <f t="shared" ca="1" si="14"/>
        <v>-0.18666605406928832</v>
      </c>
    </row>
    <row r="117" spans="6:8" x14ac:dyDescent="0.2">
      <c r="F117">
        <f t="shared" ca="1" si="14"/>
        <v>2.1538811250569188E-2</v>
      </c>
    </row>
    <row r="118" spans="6:8" x14ac:dyDescent="0.2">
      <c r="F118">
        <f t="shared" ca="1" si="14"/>
        <v>-0.76185472433412216</v>
      </c>
    </row>
    <row r="119" spans="6:8" x14ac:dyDescent="0.2">
      <c r="F119">
        <f t="shared" ca="1" si="14"/>
        <v>0.2511278114803962</v>
      </c>
    </row>
    <row r="120" spans="6:8" x14ac:dyDescent="0.2">
      <c r="F120">
        <f t="shared" ca="1" si="14"/>
        <v>0.11552147729339934</v>
      </c>
    </row>
    <row r="121" spans="6:8" x14ac:dyDescent="0.2">
      <c r="F121">
        <f t="shared" ca="1" si="14"/>
        <v>0.45412326071566</v>
      </c>
    </row>
    <row r="122" spans="6:8" x14ac:dyDescent="0.2">
      <c r="F122">
        <f t="shared" ca="1" si="14"/>
        <v>4.8642891988639692E-2</v>
      </c>
    </row>
    <row r="123" spans="6:8" x14ac:dyDescent="0.2">
      <c r="F123">
        <f t="shared" ca="1" si="14"/>
        <v>0.50569943884143642</v>
      </c>
    </row>
    <row r="124" spans="6:8" x14ac:dyDescent="0.2">
      <c r="F124">
        <f t="shared" ca="1" si="14"/>
        <v>-0.10275962819025947</v>
      </c>
    </row>
    <row r="125" spans="6:8" x14ac:dyDescent="0.2">
      <c r="F125">
        <f t="shared" ca="1" si="14"/>
        <v>-2.8452952475087709E-2</v>
      </c>
    </row>
    <row r="126" spans="6:8" x14ac:dyDescent="0.2">
      <c r="F126">
        <f t="shared" ca="1" si="14"/>
        <v>0.86370299736910727</v>
      </c>
    </row>
    <row r="127" spans="6:8" x14ac:dyDescent="0.2">
      <c r="F127">
        <f t="shared" ca="1" si="14"/>
        <v>0.34739074438739964</v>
      </c>
    </row>
    <row r="128" spans="6:8" x14ac:dyDescent="0.2">
      <c r="F128">
        <f t="shared" ca="1" si="14"/>
        <v>-6.7609902280935052E-2</v>
      </c>
    </row>
    <row r="129" spans="6:6" x14ac:dyDescent="0.2">
      <c r="F129">
        <f t="shared" ca="1" si="14"/>
        <v>0.52477656046302168</v>
      </c>
    </row>
    <row r="130" spans="6:6" x14ac:dyDescent="0.2">
      <c r="F130">
        <f t="shared" ca="1" si="14"/>
        <v>-0.20094408374635603</v>
      </c>
    </row>
    <row r="131" spans="6:6" x14ac:dyDescent="0.2">
      <c r="F131">
        <f t="shared" ca="1" si="14"/>
        <v>0.14268366706801472</v>
      </c>
    </row>
    <row r="132" spans="6:6" x14ac:dyDescent="0.2">
      <c r="F132">
        <f t="shared" ca="1" si="14"/>
        <v>8.3534723415825879E-2</v>
      </c>
    </row>
    <row r="133" spans="6:6" x14ac:dyDescent="0.2">
      <c r="F133">
        <f t="shared" ca="1" si="14"/>
        <v>-0.10352427677342206</v>
      </c>
    </row>
    <row r="134" spans="6:6" x14ac:dyDescent="0.2">
      <c r="F134">
        <f t="shared" ca="1" si="14"/>
        <v>-0.20934779976445747</v>
      </c>
    </row>
    <row r="135" spans="6:6" x14ac:dyDescent="0.2">
      <c r="F135">
        <f t="shared" ca="1" si="14"/>
        <v>-8.0119812235321095E-2</v>
      </c>
    </row>
    <row r="136" spans="6:6" x14ac:dyDescent="0.2">
      <c r="F136">
        <f t="shared" ca="1" si="14"/>
        <v>7.2162019384143461E-2</v>
      </c>
    </row>
    <row r="137" spans="6:6" x14ac:dyDescent="0.2">
      <c r="F137">
        <f t="shared" ca="1" si="14"/>
        <v>0.14401408786241432</v>
      </c>
    </row>
    <row r="138" spans="6:6" x14ac:dyDescent="0.2">
      <c r="F138">
        <f t="shared" ca="1" si="14"/>
        <v>-0.52123976538350147</v>
      </c>
    </row>
    <row r="139" spans="6:6" x14ac:dyDescent="0.2">
      <c r="F139">
        <f t="shared" ca="1" si="14"/>
        <v>-0.19391623745805806</v>
      </c>
    </row>
    <row r="140" spans="6:6" x14ac:dyDescent="0.2">
      <c r="F140">
        <f t="shared" ca="1" si="14"/>
        <v>5.0808343168640822E-2</v>
      </c>
    </row>
    <row r="141" spans="6:6" x14ac:dyDescent="0.2">
      <c r="F141">
        <f t="shared" ca="1" si="14"/>
        <v>0.48067359165345985</v>
      </c>
    </row>
    <row r="142" spans="6:6" x14ac:dyDescent="0.2">
      <c r="F142">
        <f t="shared" ca="1" si="14"/>
        <v>-4.5066329347289179E-2</v>
      </c>
    </row>
    <row r="143" spans="6:6" x14ac:dyDescent="0.2">
      <c r="F143">
        <f t="shared" ca="1" si="14"/>
        <v>-0.29869850664439268</v>
      </c>
    </row>
    <row r="144" spans="6:6" x14ac:dyDescent="0.2">
      <c r="F144">
        <f t="shared" ca="1" si="14"/>
        <v>0.29247467978675379</v>
      </c>
    </row>
    <row r="145" spans="6:6" x14ac:dyDescent="0.2">
      <c r="F145">
        <f t="shared" ca="1" si="14"/>
        <v>0.58284445471623936</v>
      </c>
    </row>
    <row r="146" spans="6:6" x14ac:dyDescent="0.2">
      <c r="F146">
        <f t="shared" ca="1" si="14"/>
        <v>0.1115722378813698</v>
      </c>
    </row>
    <row r="147" spans="6:6" x14ac:dyDescent="0.2">
      <c r="F147">
        <f t="shared" ca="1" si="14"/>
        <v>0.45448620225785169</v>
      </c>
    </row>
    <row r="148" spans="6:6" x14ac:dyDescent="0.2">
      <c r="F148">
        <f t="shared" ca="1" si="14"/>
        <v>-0.43682591194818227</v>
      </c>
    </row>
    <row r="149" spans="6:6" x14ac:dyDescent="0.2">
      <c r="F149">
        <f t="shared" ca="1" si="14"/>
        <v>0.37909318655353952</v>
      </c>
    </row>
    <row r="150" spans="6:6" x14ac:dyDescent="0.2">
      <c r="F150">
        <f t="shared" ca="1" si="14"/>
        <v>-0.379265814704077</v>
      </c>
    </row>
    <row r="151" spans="6:6" x14ac:dyDescent="0.2">
      <c r="F151">
        <f t="shared" ca="1" si="14"/>
        <v>-0.49418834119240374</v>
      </c>
    </row>
    <row r="152" spans="6:6" x14ac:dyDescent="0.2">
      <c r="F152">
        <f t="shared" ca="1" si="14"/>
        <v>0.34044983253837402</v>
      </c>
    </row>
    <row r="153" spans="6:6" x14ac:dyDescent="0.2">
      <c r="F153">
        <f t="shared" ca="1" si="14"/>
        <v>0.12307037212935355</v>
      </c>
    </row>
    <row r="154" spans="6:6" x14ac:dyDescent="0.2">
      <c r="F154">
        <f t="shared" ca="1" si="14"/>
        <v>0.33581837428276157</v>
      </c>
    </row>
    <row r="155" spans="6:6" x14ac:dyDescent="0.2">
      <c r="F155">
        <f t="shared" ca="1" si="14"/>
        <v>8.7015899349623074E-2</v>
      </c>
    </row>
    <row r="156" spans="6:6" x14ac:dyDescent="0.2">
      <c r="F156">
        <f t="shared" ca="1" si="14"/>
        <v>-0.49550322445623024</v>
      </c>
    </row>
    <row r="157" spans="6:6" x14ac:dyDescent="0.2">
      <c r="F157">
        <f t="shared" ca="1" si="14"/>
        <v>0.49381081028973201</v>
      </c>
    </row>
    <row r="158" spans="6:6" x14ac:dyDescent="0.2">
      <c r="F158">
        <f t="shared" ca="1" si="14"/>
        <v>0.71740258766753318</v>
      </c>
    </row>
    <row r="159" spans="6:6" x14ac:dyDescent="0.2">
      <c r="F159">
        <f t="shared" ca="1" si="14"/>
        <v>-0.1150377605307086</v>
      </c>
    </row>
    <row r="160" spans="6:6" x14ac:dyDescent="0.2">
      <c r="F160">
        <f t="shared" ca="1" si="14"/>
        <v>-0.30118774941674181</v>
      </c>
    </row>
    <row r="161" spans="6:6" x14ac:dyDescent="0.2">
      <c r="F161">
        <f t="shared" ca="1" si="14"/>
        <v>0.45847564912712735</v>
      </c>
    </row>
    <row r="162" spans="6:6" x14ac:dyDescent="0.2">
      <c r="F162">
        <f t="shared" ca="1" si="14"/>
        <v>-0.47242179961936398</v>
      </c>
    </row>
    <row r="163" spans="6:6" x14ac:dyDescent="0.2">
      <c r="F163">
        <f t="shared" ca="1" si="14"/>
        <v>0.51047651170597697</v>
      </c>
    </row>
    <row r="164" spans="6:6" x14ac:dyDescent="0.2">
      <c r="F164">
        <f t="shared" ca="1" si="14"/>
        <v>-0.22887273092280372</v>
      </c>
    </row>
    <row r="165" spans="6:6" x14ac:dyDescent="0.2">
      <c r="F165">
        <f t="shared" ca="1" si="14"/>
        <v>0.40994255361434345</v>
      </c>
    </row>
    <row r="166" spans="6:6" x14ac:dyDescent="0.2">
      <c r="F166">
        <f t="shared" ca="1" si="14"/>
        <v>5.9297326103721584E-2</v>
      </c>
    </row>
    <row r="167" spans="6:6" x14ac:dyDescent="0.2">
      <c r="F167">
        <f t="shared" ca="1" si="14"/>
        <v>0.53329036753887493</v>
      </c>
    </row>
    <row r="168" spans="6:6" x14ac:dyDescent="0.2">
      <c r="F168">
        <f t="shared" ca="1" si="14"/>
        <v>-0.54688133196693112</v>
      </c>
    </row>
    <row r="169" spans="6:6" x14ac:dyDescent="0.2">
      <c r="F169">
        <f t="shared" ca="1" si="14"/>
        <v>-0.45921014952471845</v>
      </c>
    </row>
    <row r="170" spans="6:6" x14ac:dyDescent="0.2">
      <c r="F170">
        <f t="shared" ca="1" si="14"/>
        <v>0.27071821585839478</v>
      </c>
    </row>
    <row r="171" spans="6:6" x14ac:dyDescent="0.2">
      <c r="F171">
        <f t="shared" ca="1" si="14"/>
        <v>0.12633245349762173</v>
      </c>
    </row>
    <row r="172" spans="6:6" x14ac:dyDescent="0.2">
      <c r="F172">
        <f t="shared" ca="1" si="14"/>
        <v>0.10849918662638919</v>
      </c>
    </row>
    <row r="173" spans="6:6" x14ac:dyDescent="0.2">
      <c r="F173">
        <f t="shared" ca="1" si="14"/>
        <v>-0.22132975588795878</v>
      </c>
    </row>
    <row r="174" spans="6:6" x14ac:dyDescent="0.2">
      <c r="F174">
        <f t="shared" ca="1" si="14"/>
        <v>-8.0219688525385177E-2</v>
      </c>
    </row>
    <row r="175" spans="6:6" x14ac:dyDescent="0.2">
      <c r="F175">
        <f t="shared" ca="1" si="14"/>
        <v>-1.0412224824052128E-2</v>
      </c>
    </row>
    <row r="176" spans="6:6" x14ac:dyDescent="0.2">
      <c r="F176">
        <f t="shared" ca="1" si="14"/>
        <v>0.33622762609104795</v>
      </c>
    </row>
    <row r="177" spans="6:6" x14ac:dyDescent="0.2">
      <c r="F177">
        <f t="shared" ca="1" si="14"/>
        <v>0.35446472981685584</v>
      </c>
    </row>
    <row r="178" spans="6:6" x14ac:dyDescent="0.2">
      <c r="F178">
        <f t="shared" ref="F178:F241" ca="1" si="15">_xlfn.NORM.INV(RAND(),0,STDEV($F$74:$AA$74))</f>
        <v>9.0923450183692092E-2</v>
      </c>
    </row>
    <row r="179" spans="6:6" x14ac:dyDescent="0.2">
      <c r="F179">
        <f t="shared" ca="1" si="15"/>
        <v>0.36357850892896676</v>
      </c>
    </row>
    <row r="180" spans="6:6" x14ac:dyDescent="0.2">
      <c r="F180">
        <f t="shared" ca="1" si="15"/>
        <v>0.14467189701808231</v>
      </c>
    </row>
    <row r="181" spans="6:6" x14ac:dyDescent="0.2">
      <c r="F181">
        <f t="shared" ca="1" si="15"/>
        <v>-0.25376443613403804</v>
      </c>
    </row>
    <row r="182" spans="6:6" x14ac:dyDescent="0.2">
      <c r="F182">
        <f t="shared" ca="1" si="15"/>
        <v>-0.28469989987293753</v>
      </c>
    </row>
    <row r="183" spans="6:6" x14ac:dyDescent="0.2">
      <c r="F183">
        <f t="shared" ca="1" si="15"/>
        <v>-0.14397075488050814</v>
      </c>
    </row>
    <row r="184" spans="6:6" x14ac:dyDescent="0.2">
      <c r="F184">
        <f t="shared" ca="1" si="15"/>
        <v>-0.44837851813834667</v>
      </c>
    </row>
    <row r="185" spans="6:6" x14ac:dyDescent="0.2">
      <c r="F185">
        <f t="shared" ca="1" si="15"/>
        <v>-0.14461438322624878</v>
      </c>
    </row>
    <row r="186" spans="6:6" x14ac:dyDescent="0.2">
      <c r="F186">
        <f t="shared" ca="1" si="15"/>
        <v>8.1206277940103794E-2</v>
      </c>
    </row>
    <row r="187" spans="6:6" x14ac:dyDescent="0.2">
      <c r="F187">
        <f t="shared" ca="1" si="15"/>
        <v>7.5086624384080189E-2</v>
      </c>
    </row>
    <row r="188" spans="6:6" x14ac:dyDescent="0.2">
      <c r="F188">
        <f t="shared" ca="1" si="15"/>
        <v>4.8913147384783265E-2</v>
      </c>
    </row>
    <row r="189" spans="6:6" x14ac:dyDescent="0.2">
      <c r="F189">
        <f t="shared" ca="1" si="15"/>
        <v>-2.4864855096312876E-2</v>
      </c>
    </row>
    <row r="190" spans="6:6" x14ac:dyDescent="0.2">
      <c r="F190">
        <f t="shared" ca="1" si="15"/>
        <v>-0.41623515454685261</v>
      </c>
    </row>
    <row r="191" spans="6:6" x14ac:dyDescent="0.2">
      <c r="F191">
        <f t="shared" ca="1" si="15"/>
        <v>-9.3698711853817548E-2</v>
      </c>
    </row>
    <row r="192" spans="6:6" x14ac:dyDescent="0.2">
      <c r="F192">
        <f t="shared" ca="1" si="15"/>
        <v>-0.25627985986737889</v>
      </c>
    </row>
    <row r="193" spans="6:6" x14ac:dyDescent="0.2">
      <c r="F193">
        <f t="shared" ca="1" si="15"/>
        <v>0.40889203923626394</v>
      </c>
    </row>
    <row r="194" spans="6:6" x14ac:dyDescent="0.2">
      <c r="F194">
        <f t="shared" ca="1" si="15"/>
        <v>-0.15863756399612056</v>
      </c>
    </row>
    <row r="195" spans="6:6" x14ac:dyDescent="0.2">
      <c r="F195">
        <f t="shared" ca="1" si="15"/>
        <v>0.18146024800200991</v>
      </c>
    </row>
    <row r="196" spans="6:6" x14ac:dyDescent="0.2">
      <c r="F196">
        <f t="shared" ca="1" si="15"/>
        <v>0.27841243037053581</v>
      </c>
    </row>
    <row r="197" spans="6:6" x14ac:dyDescent="0.2">
      <c r="F197">
        <f t="shared" ca="1" si="15"/>
        <v>0.27562923056526201</v>
      </c>
    </row>
    <row r="198" spans="6:6" x14ac:dyDescent="0.2">
      <c r="F198">
        <f t="shared" ca="1" si="15"/>
        <v>0.56108879222468744</v>
      </c>
    </row>
    <row r="199" spans="6:6" x14ac:dyDescent="0.2">
      <c r="F199">
        <f t="shared" ca="1" si="15"/>
        <v>0.30262143889032767</v>
      </c>
    </row>
    <row r="200" spans="6:6" x14ac:dyDescent="0.2">
      <c r="F200">
        <f t="shared" ca="1" si="15"/>
        <v>0.26266897940839373</v>
      </c>
    </row>
    <row r="201" spans="6:6" x14ac:dyDescent="0.2">
      <c r="F201">
        <f t="shared" ca="1" si="15"/>
        <v>0.78002829739505808</v>
      </c>
    </row>
    <row r="202" spans="6:6" x14ac:dyDescent="0.2">
      <c r="F202">
        <f t="shared" ca="1" si="15"/>
        <v>-0.29120510367630664</v>
      </c>
    </row>
    <row r="203" spans="6:6" x14ac:dyDescent="0.2">
      <c r="F203">
        <f t="shared" ca="1" si="15"/>
        <v>0.23301355041262042</v>
      </c>
    </row>
    <row r="204" spans="6:6" x14ac:dyDescent="0.2">
      <c r="F204">
        <f t="shared" ca="1" si="15"/>
        <v>-0.41496491124192419</v>
      </c>
    </row>
    <row r="205" spans="6:6" x14ac:dyDescent="0.2">
      <c r="F205">
        <f t="shared" ca="1" si="15"/>
        <v>0.39864382012118427</v>
      </c>
    </row>
    <row r="206" spans="6:6" x14ac:dyDescent="0.2">
      <c r="F206">
        <f t="shared" ca="1" si="15"/>
        <v>0.40085998367365921</v>
      </c>
    </row>
    <row r="207" spans="6:6" x14ac:dyDescent="0.2">
      <c r="F207">
        <f t="shared" ca="1" si="15"/>
        <v>-0.22010098684334514</v>
      </c>
    </row>
    <row r="208" spans="6:6" x14ac:dyDescent="0.2">
      <c r="F208">
        <f t="shared" ca="1" si="15"/>
        <v>-8.0712906698722178E-2</v>
      </c>
    </row>
    <row r="209" spans="6:6" x14ac:dyDescent="0.2">
      <c r="F209">
        <f t="shared" ca="1" si="15"/>
        <v>0.22379128248566904</v>
      </c>
    </row>
    <row r="210" spans="6:6" x14ac:dyDescent="0.2">
      <c r="F210">
        <f t="shared" ca="1" si="15"/>
        <v>8.2720945201112603E-2</v>
      </c>
    </row>
    <row r="211" spans="6:6" x14ac:dyDescent="0.2">
      <c r="F211">
        <f t="shared" ca="1" si="15"/>
        <v>2.5336691852064337E-2</v>
      </c>
    </row>
    <row r="212" spans="6:6" x14ac:dyDescent="0.2">
      <c r="F212">
        <f t="shared" ca="1" si="15"/>
        <v>0.22310289987011186</v>
      </c>
    </row>
    <row r="213" spans="6:6" x14ac:dyDescent="0.2">
      <c r="F213">
        <f t="shared" ca="1" si="15"/>
        <v>0.20784898554155701</v>
      </c>
    </row>
    <row r="214" spans="6:6" x14ac:dyDescent="0.2">
      <c r="F214">
        <f t="shared" ca="1" si="15"/>
        <v>0.20880722070677915</v>
      </c>
    </row>
    <row r="215" spans="6:6" x14ac:dyDescent="0.2">
      <c r="F215">
        <f t="shared" ca="1" si="15"/>
        <v>-0.21171160556997867</v>
      </c>
    </row>
    <row r="216" spans="6:6" x14ac:dyDescent="0.2">
      <c r="F216">
        <f t="shared" ca="1" si="15"/>
        <v>0.26549200450383131</v>
      </c>
    </row>
    <row r="217" spans="6:6" x14ac:dyDescent="0.2">
      <c r="F217">
        <f t="shared" ca="1" si="15"/>
        <v>4.7318762003832206E-2</v>
      </c>
    </row>
    <row r="218" spans="6:6" x14ac:dyDescent="0.2">
      <c r="F218">
        <f t="shared" ca="1" si="15"/>
        <v>0.55319957431397127</v>
      </c>
    </row>
    <row r="219" spans="6:6" x14ac:dyDescent="0.2">
      <c r="F219">
        <f t="shared" ca="1" si="15"/>
        <v>0.87957551297664871</v>
      </c>
    </row>
    <row r="220" spans="6:6" x14ac:dyDescent="0.2">
      <c r="F220">
        <f t="shared" ca="1" si="15"/>
        <v>-0.35483327007265625</v>
      </c>
    </row>
    <row r="221" spans="6:6" x14ac:dyDescent="0.2">
      <c r="F221">
        <f t="shared" ca="1" si="15"/>
        <v>6.1386618506256464E-2</v>
      </c>
    </row>
    <row r="222" spans="6:6" x14ac:dyDescent="0.2">
      <c r="F222">
        <f t="shared" ca="1" si="15"/>
        <v>7.4575467170151261E-2</v>
      </c>
    </row>
    <row r="223" spans="6:6" x14ac:dyDescent="0.2">
      <c r="F223">
        <f t="shared" ca="1" si="15"/>
        <v>0.38554202085563738</v>
      </c>
    </row>
    <row r="224" spans="6:6" x14ac:dyDescent="0.2">
      <c r="F224">
        <f t="shared" ca="1" si="15"/>
        <v>0.63315561312586421</v>
      </c>
    </row>
    <row r="225" spans="6:6" x14ac:dyDescent="0.2">
      <c r="F225">
        <f t="shared" ca="1" si="15"/>
        <v>7.3536946294305003E-2</v>
      </c>
    </row>
    <row r="226" spans="6:6" x14ac:dyDescent="0.2">
      <c r="F226">
        <f t="shared" ca="1" si="15"/>
        <v>0.12203603964698091</v>
      </c>
    </row>
    <row r="227" spans="6:6" x14ac:dyDescent="0.2">
      <c r="F227">
        <f t="shared" ca="1" si="15"/>
        <v>-0.27794717597443142</v>
      </c>
    </row>
    <row r="228" spans="6:6" x14ac:dyDescent="0.2">
      <c r="F228">
        <f t="shared" ca="1" si="15"/>
        <v>0.41607881997276741</v>
      </c>
    </row>
    <row r="229" spans="6:6" x14ac:dyDescent="0.2">
      <c r="F229">
        <f t="shared" ca="1" si="15"/>
        <v>-1.7253538042776028E-2</v>
      </c>
    </row>
    <row r="230" spans="6:6" x14ac:dyDescent="0.2">
      <c r="F230">
        <f t="shared" ca="1" si="15"/>
        <v>-0.89163330103957794</v>
      </c>
    </row>
    <row r="231" spans="6:6" x14ac:dyDescent="0.2">
      <c r="F231">
        <f t="shared" ca="1" si="15"/>
        <v>0.10986278129390556</v>
      </c>
    </row>
    <row r="232" spans="6:6" x14ac:dyDescent="0.2">
      <c r="F232">
        <f t="shared" ca="1" si="15"/>
        <v>-5.3873225741208446E-2</v>
      </c>
    </row>
    <row r="233" spans="6:6" x14ac:dyDescent="0.2">
      <c r="F233">
        <f t="shared" ca="1" si="15"/>
        <v>0.42766625980911793</v>
      </c>
    </row>
    <row r="234" spans="6:6" x14ac:dyDescent="0.2">
      <c r="F234">
        <f t="shared" ca="1" si="15"/>
        <v>-0.67353010131859281</v>
      </c>
    </row>
    <row r="235" spans="6:6" x14ac:dyDescent="0.2">
      <c r="F235">
        <f t="shared" ca="1" si="15"/>
        <v>0.46369431215592322</v>
      </c>
    </row>
    <row r="236" spans="6:6" x14ac:dyDescent="0.2">
      <c r="F236">
        <f t="shared" ca="1" si="15"/>
        <v>-0.3361717846267</v>
      </c>
    </row>
    <row r="237" spans="6:6" x14ac:dyDescent="0.2">
      <c r="F237">
        <f t="shared" ca="1" si="15"/>
        <v>0.63168982049505173</v>
      </c>
    </row>
    <row r="238" spans="6:6" x14ac:dyDescent="0.2">
      <c r="F238">
        <f t="shared" ca="1" si="15"/>
        <v>0.34220122287969046</v>
      </c>
    </row>
    <row r="239" spans="6:6" x14ac:dyDescent="0.2">
      <c r="F239">
        <f t="shared" ca="1" si="15"/>
        <v>0.57929700198319978</v>
      </c>
    </row>
    <row r="240" spans="6:6" x14ac:dyDescent="0.2">
      <c r="F240">
        <f t="shared" ca="1" si="15"/>
        <v>0.35351876041423225</v>
      </c>
    </row>
    <row r="241" spans="6:6" x14ac:dyDescent="0.2">
      <c r="F241">
        <f t="shared" ca="1" si="15"/>
        <v>0.17174001830379976</v>
      </c>
    </row>
    <row r="242" spans="6:6" x14ac:dyDescent="0.2">
      <c r="F242">
        <f t="shared" ref="F242:F305" ca="1" si="16">_xlfn.NORM.INV(RAND(),0,STDEV($F$74:$AA$74))</f>
        <v>1.6299107441796491E-3</v>
      </c>
    </row>
    <row r="243" spans="6:6" x14ac:dyDescent="0.2">
      <c r="F243">
        <f t="shared" ca="1" si="16"/>
        <v>-0.12284083568935256</v>
      </c>
    </row>
    <row r="244" spans="6:6" x14ac:dyDescent="0.2">
      <c r="F244">
        <f t="shared" ca="1" si="16"/>
        <v>0.35806778842863285</v>
      </c>
    </row>
    <row r="245" spans="6:6" x14ac:dyDescent="0.2">
      <c r="F245">
        <f t="shared" ca="1" si="16"/>
        <v>-0.56661818692020438</v>
      </c>
    </row>
    <row r="246" spans="6:6" x14ac:dyDescent="0.2">
      <c r="F246">
        <f t="shared" ca="1" si="16"/>
        <v>-0.31553580346700005</v>
      </c>
    </row>
    <row r="247" spans="6:6" x14ac:dyDescent="0.2">
      <c r="F247">
        <f t="shared" ca="1" si="16"/>
        <v>0.41532164329425797</v>
      </c>
    </row>
    <row r="248" spans="6:6" x14ac:dyDescent="0.2">
      <c r="F248">
        <f t="shared" ca="1" si="16"/>
        <v>0.34211813933462226</v>
      </c>
    </row>
    <row r="249" spans="6:6" x14ac:dyDescent="0.2">
      <c r="F249">
        <f t="shared" ca="1" si="16"/>
        <v>-0.3589500851006116</v>
      </c>
    </row>
    <row r="250" spans="6:6" x14ac:dyDescent="0.2">
      <c r="F250">
        <f t="shared" ca="1" si="16"/>
        <v>-0.12097550851057123</v>
      </c>
    </row>
    <row r="251" spans="6:6" x14ac:dyDescent="0.2">
      <c r="F251">
        <f t="shared" ca="1" si="16"/>
        <v>0.49854510977742694</v>
      </c>
    </row>
    <row r="252" spans="6:6" x14ac:dyDescent="0.2">
      <c r="F252">
        <f t="shared" ca="1" si="16"/>
        <v>-0.4824162934337673</v>
      </c>
    </row>
    <row r="253" spans="6:6" x14ac:dyDescent="0.2">
      <c r="F253">
        <f t="shared" ca="1" si="16"/>
        <v>0.46940536467405736</v>
      </c>
    </row>
    <row r="254" spans="6:6" x14ac:dyDescent="0.2">
      <c r="F254">
        <f t="shared" ca="1" si="16"/>
        <v>0.42290740741046534</v>
      </c>
    </row>
    <row r="255" spans="6:6" x14ac:dyDescent="0.2">
      <c r="F255">
        <f t="shared" ca="1" si="16"/>
        <v>-0.43935769617322123</v>
      </c>
    </row>
    <row r="256" spans="6:6" x14ac:dyDescent="0.2">
      <c r="F256">
        <f t="shared" ca="1" si="16"/>
        <v>-0.18005009919766279</v>
      </c>
    </row>
    <row r="257" spans="6:6" x14ac:dyDescent="0.2">
      <c r="F257">
        <f t="shared" ca="1" si="16"/>
        <v>0.60274855498469193</v>
      </c>
    </row>
    <row r="258" spans="6:6" x14ac:dyDescent="0.2">
      <c r="F258">
        <f t="shared" ca="1" si="16"/>
        <v>0.28914771041050469</v>
      </c>
    </row>
    <row r="259" spans="6:6" x14ac:dyDescent="0.2">
      <c r="F259">
        <f t="shared" ca="1" si="16"/>
        <v>-0.16857316144542014</v>
      </c>
    </row>
    <row r="260" spans="6:6" x14ac:dyDescent="0.2">
      <c r="F260">
        <f t="shared" ca="1" si="16"/>
        <v>-0.71191437456076578</v>
      </c>
    </row>
    <row r="261" spans="6:6" x14ac:dyDescent="0.2">
      <c r="F261">
        <f t="shared" ca="1" si="16"/>
        <v>0.43355853288437324</v>
      </c>
    </row>
    <row r="262" spans="6:6" x14ac:dyDescent="0.2">
      <c r="F262">
        <f t="shared" ca="1" si="16"/>
        <v>-0.68654380963092021</v>
      </c>
    </row>
    <row r="263" spans="6:6" x14ac:dyDescent="0.2">
      <c r="F263">
        <f t="shared" ca="1" si="16"/>
        <v>0.80510850057208305</v>
      </c>
    </row>
    <row r="264" spans="6:6" x14ac:dyDescent="0.2">
      <c r="F264">
        <f t="shared" ca="1" si="16"/>
        <v>-0.50888596167801492</v>
      </c>
    </row>
    <row r="265" spans="6:6" x14ac:dyDescent="0.2">
      <c r="F265">
        <f t="shared" ca="1" si="16"/>
        <v>5.5253691666999935E-2</v>
      </c>
    </row>
    <row r="266" spans="6:6" x14ac:dyDescent="0.2">
      <c r="F266">
        <f t="shared" ca="1" si="16"/>
        <v>-0.44613186211647243</v>
      </c>
    </row>
    <row r="267" spans="6:6" x14ac:dyDescent="0.2">
      <c r="F267">
        <f t="shared" ca="1" si="16"/>
        <v>0.73214168835590065</v>
      </c>
    </row>
    <row r="268" spans="6:6" x14ac:dyDescent="0.2">
      <c r="F268">
        <f t="shared" ca="1" si="16"/>
        <v>-0.32818730220064646</v>
      </c>
    </row>
    <row r="269" spans="6:6" x14ac:dyDescent="0.2">
      <c r="F269">
        <f t="shared" ca="1" si="16"/>
        <v>-0.17579506871507292</v>
      </c>
    </row>
    <row r="270" spans="6:6" x14ac:dyDescent="0.2">
      <c r="F270">
        <f t="shared" ca="1" si="16"/>
        <v>-5.0005056338540662E-3</v>
      </c>
    </row>
    <row r="271" spans="6:6" x14ac:dyDescent="0.2">
      <c r="F271">
        <f t="shared" ca="1" si="16"/>
        <v>-0.10793265200699072</v>
      </c>
    </row>
    <row r="272" spans="6:6" x14ac:dyDescent="0.2">
      <c r="F272">
        <f t="shared" ca="1" si="16"/>
        <v>0.11798916318278617</v>
      </c>
    </row>
    <row r="273" spans="6:6" x14ac:dyDescent="0.2">
      <c r="F273">
        <f t="shared" ca="1" si="16"/>
        <v>-2.1791236896846984E-2</v>
      </c>
    </row>
    <row r="274" spans="6:6" x14ac:dyDescent="0.2">
      <c r="F274">
        <f t="shared" ca="1" si="16"/>
        <v>-9.2264811361568458E-2</v>
      </c>
    </row>
    <row r="275" spans="6:6" x14ac:dyDescent="0.2">
      <c r="F275">
        <f t="shared" ca="1" si="16"/>
        <v>0.12865789393456878</v>
      </c>
    </row>
    <row r="276" spans="6:6" x14ac:dyDescent="0.2">
      <c r="F276">
        <f t="shared" ca="1" si="16"/>
        <v>7.7917731447884206E-2</v>
      </c>
    </row>
    <row r="277" spans="6:6" x14ac:dyDescent="0.2">
      <c r="F277">
        <f t="shared" ca="1" si="16"/>
        <v>-4.9542014370619759E-2</v>
      </c>
    </row>
    <row r="278" spans="6:6" x14ac:dyDescent="0.2">
      <c r="F278">
        <f t="shared" ca="1" si="16"/>
        <v>-0.1354668728708773</v>
      </c>
    </row>
    <row r="279" spans="6:6" x14ac:dyDescent="0.2">
      <c r="F279">
        <f t="shared" ca="1" si="16"/>
        <v>-0.20930559263289086</v>
      </c>
    </row>
    <row r="280" spans="6:6" x14ac:dyDescent="0.2">
      <c r="F280">
        <f t="shared" ca="1" si="16"/>
        <v>0.73394593956419607</v>
      </c>
    </row>
    <row r="281" spans="6:6" x14ac:dyDescent="0.2">
      <c r="F281">
        <f t="shared" ca="1" si="16"/>
        <v>2.3154286207261957E-2</v>
      </c>
    </row>
    <row r="282" spans="6:6" x14ac:dyDescent="0.2">
      <c r="F282">
        <f t="shared" ca="1" si="16"/>
        <v>9.7950240814776685E-2</v>
      </c>
    </row>
    <row r="283" spans="6:6" x14ac:dyDescent="0.2">
      <c r="F283">
        <f t="shared" ca="1" si="16"/>
        <v>-0.34160917234492921</v>
      </c>
    </row>
    <row r="284" spans="6:6" x14ac:dyDescent="0.2">
      <c r="F284">
        <f t="shared" ca="1" si="16"/>
        <v>0.17474182830369286</v>
      </c>
    </row>
    <row r="285" spans="6:6" x14ac:dyDescent="0.2">
      <c r="F285">
        <f t="shared" ca="1" si="16"/>
        <v>-7.2846434596383611E-2</v>
      </c>
    </row>
    <row r="286" spans="6:6" x14ac:dyDescent="0.2">
      <c r="F286">
        <f t="shared" ca="1" si="16"/>
        <v>9.9221841427784715E-2</v>
      </c>
    </row>
    <row r="287" spans="6:6" x14ac:dyDescent="0.2">
      <c r="F287">
        <f t="shared" ca="1" si="16"/>
        <v>-0.38428725563191035</v>
      </c>
    </row>
    <row r="288" spans="6:6" x14ac:dyDescent="0.2">
      <c r="F288">
        <f t="shared" ca="1" si="16"/>
        <v>-0.36920667171119687</v>
      </c>
    </row>
    <row r="289" spans="6:6" x14ac:dyDescent="0.2">
      <c r="F289">
        <f t="shared" ca="1" si="16"/>
        <v>0.14279792291345783</v>
      </c>
    </row>
    <row r="290" spans="6:6" x14ac:dyDescent="0.2">
      <c r="F290">
        <f t="shared" ca="1" si="16"/>
        <v>7.7766968793722344E-2</v>
      </c>
    </row>
    <row r="291" spans="6:6" x14ac:dyDescent="0.2">
      <c r="F291">
        <f t="shared" ca="1" si="16"/>
        <v>0.51008074874992448</v>
      </c>
    </row>
    <row r="292" spans="6:6" x14ac:dyDescent="0.2">
      <c r="F292">
        <f t="shared" ca="1" si="16"/>
        <v>6.7482848991510191E-2</v>
      </c>
    </row>
    <row r="293" spans="6:6" x14ac:dyDescent="0.2">
      <c r="F293">
        <f t="shared" ca="1" si="16"/>
        <v>0.72645728260771891</v>
      </c>
    </row>
    <row r="294" spans="6:6" x14ac:dyDescent="0.2">
      <c r="F294">
        <f t="shared" ca="1" si="16"/>
        <v>5.0592538416747858E-2</v>
      </c>
    </row>
    <row r="295" spans="6:6" x14ac:dyDescent="0.2">
      <c r="F295">
        <f t="shared" ca="1" si="16"/>
        <v>-0.26644489095984619</v>
      </c>
    </row>
    <row r="296" spans="6:6" x14ac:dyDescent="0.2">
      <c r="F296">
        <f t="shared" ca="1" si="16"/>
        <v>-4.4889599962665144E-2</v>
      </c>
    </row>
    <row r="297" spans="6:6" x14ac:dyDescent="0.2">
      <c r="F297">
        <f t="shared" ca="1" si="16"/>
        <v>5.0694483597957017E-3</v>
      </c>
    </row>
    <row r="298" spans="6:6" x14ac:dyDescent="0.2">
      <c r="F298">
        <f t="shared" ca="1" si="16"/>
        <v>-0.32667499733253519</v>
      </c>
    </row>
    <row r="299" spans="6:6" x14ac:dyDescent="0.2">
      <c r="F299">
        <f t="shared" ca="1" si="16"/>
        <v>-0.24733828969571031</v>
      </c>
    </row>
    <row r="300" spans="6:6" x14ac:dyDescent="0.2">
      <c r="F300">
        <f t="shared" ca="1" si="16"/>
        <v>0.19071948425347018</v>
      </c>
    </row>
    <row r="301" spans="6:6" x14ac:dyDescent="0.2">
      <c r="F301">
        <f t="shared" ca="1" si="16"/>
        <v>4.9326571801851848E-2</v>
      </c>
    </row>
    <row r="302" spans="6:6" x14ac:dyDescent="0.2">
      <c r="F302">
        <f t="shared" ca="1" si="16"/>
        <v>-0.29979496932362221</v>
      </c>
    </row>
    <row r="303" spans="6:6" x14ac:dyDescent="0.2">
      <c r="F303">
        <f t="shared" ca="1" si="16"/>
        <v>-5.9237668330463102E-2</v>
      </c>
    </row>
    <row r="304" spans="6:6" x14ac:dyDescent="0.2">
      <c r="F304">
        <f t="shared" ca="1" si="16"/>
        <v>-0.10634804220582361</v>
      </c>
    </row>
    <row r="305" spans="6:6" x14ac:dyDescent="0.2">
      <c r="F305">
        <f t="shared" ca="1" si="16"/>
        <v>-8.2890271725107101E-2</v>
      </c>
    </row>
    <row r="306" spans="6:6" x14ac:dyDescent="0.2">
      <c r="F306">
        <f t="shared" ref="F306:F346" ca="1" si="17">_xlfn.NORM.INV(RAND(),0,STDEV($F$74:$AA$74))</f>
        <v>0.27772331616499668</v>
      </c>
    </row>
    <row r="307" spans="6:6" x14ac:dyDescent="0.2">
      <c r="F307">
        <f t="shared" ca="1" si="17"/>
        <v>-0.41619341256036513</v>
      </c>
    </row>
    <row r="308" spans="6:6" x14ac:dyDescent="0.2">
      <c r="F308">
        <f t="shared" ca="1" si="17"/>
        <v>-0.30856932557013206</v>
      </c>
    </row>
    <row r="309" spans="6:6" x14ac:dyDescent="0.2">
      <c r="F309">
        <f t="shared" ca="1" si="17"/>
        <v>-6.4333311733050739E-3</v>
      </c>
    </row>
    <row r="310" spans="6:6" x14ac:dyDescent="0.2">
      <c r="F310">
        <f t="shared" ca="1" si="17"/>
        <v>-0.43502415808339112</v>
      </c>
    </row>
    <row r="311" spans="6:6" x14ac:dyDescent="0.2">
      <c r="F311">
        <f t="shared" ca="1" si="17"/>
        <v>-0.11944463037639516</v>
      </c>
    </row>
    <row r="312" spans="6:6" x14ac:dyDescent="0.2">
      <c r="F312">
        <f t="shared" ca="1" si="17"/>
        <v>-0.2471992128527333</v>
      </c>
    </row>
    <row r="313" spans="6:6" x14ac:dyDescent="0.2">
      <c r="F313">
        <f t="shared" ca="1" si="17"/>
        <v>-0.25862023384872218</v>
      </c>
    </row>
    <row r="314" spans="6:6" x14ac:dyDescent="0.2">
      <c r="F314">
        <f t="shared" ca="1" si="17"/>
        <v>0.5106389490360046</v>
      </c>
    </row>
    <row r="315" spans="6:6" x14ac:dyDescent="0.2">
      <c r="F315">
        <f t="shared" ca="1" si="17"/>
        <v>0.36923379520459143</v>
      </c>
    </row>
    <row r="316" spans="6:6" x14ac:dyDescent="0.2">
      <c r="F316">
        <f t="shared" ca="1" si="17"/>
        <v>-0.29034054600588249</v>
      </c>
    </row>
    <row r="317" spans="6:6" x14ac:dyDescent="0.2">
      <c r="F317">
        <f t="shared" ca="1" si="17"/>
        <v>-0.29048682508479351</v>
      </c>
    </row>
    <row r="318" spans="6:6" x14ac:dyDescent="0.2">
      <c r="F318">
        <f t="shared" ca="1" si="17"/>
        <v>-0.13060363699006541</v>
      </c>
    </row>
    <row r="319" spans="6:6" x14ac:dyDescent="0.2">
      <c r="F319">
        <f t="shared" ca="1" si="17"/>
        <v>0.41069676797229121</v>
      </c>
    </row>
    <row r="320" spans="6:6" x14ac:dyDescent="0.2">
      <c r="F320">
        <f t="shared" ca="1" si="17"/>
        <v>0.22503916304684113</v>
      </c>
    </row>
    <row r="321" spans="6:6" x14ac:dyDescent="0.2">
      <c r="F321">
        <f t="shared" ca="1" si="17"/>
        <v>0.15869098496284953</v>
      </c>
    </row>
    <row r="322" spans="6:6" x14ac:dyDescent="0.2">
      <c r="F322">
        <f t="shared" ca="1" si="17"/>
        <v>-0.6924157940396436</v>
      </c>
    </row>
    <row r="323" spans="6:6" x14ac:dyDescent="0.2">
      <c r="F323">
        <f t="shared" ca="1" si="17"/>
        <v>0.19863472737061094</v>
      </c>
    </row>
    <row r="324" spans="6:6" x14ac:dyDescent="0.2">
      <c r="F324">
        <f t="shared" ca="1" si="17"/>
        <v>-5.51003678061786E-2</v>
      </c>
    </row>
    <row r="325" spans="6:6" x14ac:dyDescent="0.2">
      <c r="F325">
        <f t="shared" ca="1" si="17"/>
        <v>0.75121918255971731</v>
      </c>
    </row>
    <row r="326" spans="6:6" x14ac:dyDescent="0.2">
      <c r="F326">
        <f t="shared" ca="1" si="17"/>
        <v>0.29960774113044619</v>
      </c>
    </row>
    <row r="327" spans="6:6" x14ac:dyDescent="0.2">
      <c r="F327">
        <f t="shared" ca="1" si="17"/>
        <v>-0.87381904158486001</v>
      </c>
    </row>
    <row r="328" spans="6:6" x14ac:dyDescent="0.2">
      <c r="F328">
        <f t="shared" ca="1" si="17"/>
        <v>0.13399791579109996</v>
      </c>
    </row>
    <row r="329" spans="6:6" x14ac:dyDescent="0.2">
      <c r="F329">
        <f t="shared" ca="1" si="17"/>
        <v>-0.31367759547435281</v>
      </c>
    </row>
    <row r="330" spans="6:6" x14ac:dyDescent="0.2">
      <c r="F330">
        <f t="shared" ca="1" si="17"/>
        <v>0.6937196499357916</v>
      </c>
    </row>
    <row r="331" spans="6:6" x14ac:dyDescent="0.2">
      <c r="F331">
        <f t="shared" ca="1" si="17"/>
        <v>0.15110357268075766</v>
      </c>
    </row>
    <row r="332" spans="6:6" x14ac:dyDescent="0.2">
      <c r="F332">
        <f t="shared" ca="1" si="17"/>
        <v>-0.19240053379330713</v>
      </c>
    </row>
    <row r="333" spans="6:6" x14ac:dyDescent="0.2">
      <c r="F333">
        <f t="shared" ca="1" si="17"/>
        <v>0.3813806669188588</v>
      </c>
    </row>
    <row r="334" spans="6:6" x14ac:dyDescent="0.2">
      <c r="F334">
        <f t="shared" ca="1" si="17"/>
        <v>-0.15844022864736837</v>
      </c>
    </row>
    <row r="335" spans="6:6" x14ac:dyDescent="0.2">
      <c r="F335">
        <f t="shared" ca="1" si="17"/>
        <v>0.22681159637598908</v>
      </c>
    </row>
    <row r="336" spans="6:6" x14ac:dyDescent="0.2">
      <c r="F336">
        <f t="shared" ca="1" si="17"/>
        <v>-0.56512807468190407</v>
      </c>
    </row>
    <row r="337" spans="6:6" x14ac:dyDescent="0.2">
      <c r="F337">
        <f t="shared" ca="1" si="17"/>
        <v>-0.38410703885687247</v>
      </c>
    </row>
    <row r="338" spans="6:6" x14ac:dyDescent="0.2">
      <c r="F338">
        <f t="shared" ca="1" si="17"/>
        <v>4.1434241612807128E-2</v>
      </c>
    </row>
    <row r="339" spans="6:6" x14ac:dyDescent="0.2">
      <c r="F339">
        <f t="shared" ca="1" si="17"/>
        <v>0.46644984797129979</v>
      </c>
    </row>
    <row r="340" spans="6:6" x14ac:dyDescent="0.2">
      <c r="F340">
        <f t="shared" ca="1" si="17"/>
        <v>0.40836211656729599</v>
      </c>
    </row>
    <row r="341" spans="6:6" x14ac:dyDescent="0.2">
      <c r="F341">
        <f t="shared" ca="1" si="17"/>
        <v>-9.3581818747828019E-2</v>
      </c>
    </row>
    <row r="342" spans="6:6" x14ac:dyDescent="0.2">
      <c r="F342">
        <f t="shared" ca="1" si="17"/>
        <v>-0.12310344033669327</v>
      </c>
    </row>
    <row r="343" spans="6:6" x14ac:dyDescent="0.2">
      <c r="F343">
        <f t="shared" ca="1" si="17"/>
        <v>0.18472497717258482</v>
      </c>
    </row>
    <row r="344" spans="6:6" x14ac:dyDescent="0.2">
      <c r="F344">
        <f t="shared" ca="1" si="17"/>
        <v>-1.0559714429652136</v>
      </c>
    </row>
    <row r="345" spans="6:6" x14ac:dyDescent="0.2">
      <c r="F345">
        <f t="shared" ca="1" si="17"/>
        <v>0.41417952181074091</v>
      </c>
    </row>
    <row r="346" spans="6:6" x14ac:dyDescent="0.2">
      <c r="F346">
        <f t="shared" ca="1" si="17"/>
        <v>-8.5109597677718252E-2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1B32-3909-E142-A3E8-266C4CCE2280}">
  <dimension ref="B7:W26"/>
  <sheetViews>
    <sheetView zoomScale="130" zoomScaleNormal="130" workbookViewId="0">
      <selection activeCell="F35" sqref="F35"/>
    </sheetView>
  </sheetViews>
  <sheetFormatPr baseColWidth="10" defaultRowHeight="16" x14ac:dyDescent="0.2"/>
  <sheetData>
    <row r="7" spans="2:23" x14ac:dyDescent="0.2">
      <c r="B7">
        <v>5.6277056277056259E-2</v>
      </c>
      <c r="C7">
        <v>-0.25541125541125542</v>
      </c>
      <c r="D7">
        <v>6.9264069264069306E-2</v>
      </c>
      <c r="E7">
        <v>6.9264069264069306E-2</v>
      </c>
      <c r="F7">
        <v>6.0606060606060552E-2</v>
      </c>
      <c r="G7">
        <v>7.7922077922077948E-2</v>
      </c>
      <c r="H7">
        <v>0.19480519480519481</v>
      </c>
      <c r="I7">
        <v>0</v>
      </c>
      <c r="J7">
        <v>-0.10389610389610393</v>
      </c>
      <c r="K7">
        <v>0.43290043290043284</v>
      </c>
      <c r="L7">
        <v>0.21212121212121215</v>
      </c>
      <c r="M7">
        <v>-8.6580086580086979E-3</v>
      </c>
      <c r="N7">
        <v>-1.7316017316017396E-2</v>
      </c>
      <c r="O7">
        <v>0.52813852813852813</v>
      </c>
      <c r="P7">
        <v>-0.44588744588744589</v>
      </c>
      <c r="Q7">
        <v>-0.33766233766233766</v>
      </c>
      <c r="R7">
        <v>0.12121212121212122</v>
      </c>
      <c r="S7">
        <v>-5.627705627705637E-2</v>
      </c>
      <c r="T7">
        <v>0.29870129870129869</v>
      </c>
      <c r="U7">
        <v>0.10822510822510822</v>
      </c>
      <c r="V7">
        <v>0.36796536796536794</v>
      </c>
      <c r="W7">
        <v>0.30735930735930733</v>
      </c>
    </row>
    <row r="14" spans="2:23" x14ac:dyDescent="0.2">
      <c r="B14" t="s">
        <v>53</v>
      </c>
      <c r="C14" t="s">
        <v>53</v>
      </c>
      <c r="D14" t="s">
        <v>43</v>
      </c>
      <c r="E14" t="s">
        <v>53</v>
      </c>
      <c r="F14" t="s">
        <v>53</v>
      </c>
      <c r="G14" t="s">
        <v>53</v>
      </c>
      <c r="H14" t="s">
        <v>53</v>
      </c>
      <c r="I14" t="s">
        <v>53</v>
      </c>
      <c r="J14" t="s">
        <v>53</v>
      </c>
      <c r="K14" t="s">
        <v>53</v>
      </c>
      <c r="L14" t="s">
        <v>53</v>
      </c>
      <c r="N14" t="s">
        <v>53</v>
      </c>
      <c r="O14" t="s">
        <v>43</v>
      </c>
      <c r="P14" t="s">
        <v>53</v>
      </c>
      <c r="Q14" t="s">
        <v>53</v>
      </c>
      <c r="R14" t="s">
        <v>53</v>
      </c>
      <c r="S14" t="s">
        <v>53</v>
      </c>
      <c r="T14" t="s">
        <v>53</v>
      </c>
      <c r="U14" t="s">
        <v>53</v>
      </c>
      <c r="V14" t="s">
        <v>53</v>
      </c>
      <c r="W14" t="s">
        <v>53</v>
      </c>
    </row>
    <row r="17" spans="2:23" x14ac:dyDescent="0.2">
      <c r="B17">
        <f>IF(B14="X",1,-1)</f>
        <v>1</v>
      </c>
      <c r="C17">
        <f t="shared" ref="C17:W17" si="0">IF(C14="X",1,-1)</f>
        <v>1</v>
      </c>
      <c r="D17">
        <f t="shared" si="0"/>
        <v>-1</v>
      </c>
      <c r="E17">
        <f t="shared" si="0"/>
        <v>1</v>
      </c>
      <c r="F17">
        <f t="shared" si="0"/>
        <v>1</v>
      </c>
      <c r="G17">
        <f t="shared" si="0"/>
        <v>1</v>
      </c>
      <c r="H17">
        <f t="shared" si="0"/>
        <v>1</v>
      </c>
      <c r="I17">
        <f t="shared" si="0"/>
        <v>1</v>
      </c>
      <c r="J17">
        <f t="shared" si="0"/>
        <v>1</v>
      </c>
      <c r="K17">
        <f t="shared" si="0"/>
        <v>1</v>
      </c>
      <c r="L17">
        <f t="shared" si="0"/>
        <v>1</v>
      </c>
      <c r="M17">
        <f t="shared" si="0"/>
        <v>-1</v>
      </c>
      <c r="N17">
        <f t="shared" si="0"/>
        <v>1</v>
      </c>
      <c r="O17">
        <f t="shared" si="0"/>
        <v>-1</v>
      </c>
      <c r="P17">
        <f t="shared" si="0"/>
        <v>1</v>
      </c>
      <c r="Q17">
        <f t="shared" si="0"/>
        <v>1</v>
      </c>
      <c r="R17">
        <f t="shared" si="0"/>
        <v>1</v>
      </c>
      <c r="S17">
        <f t="shared" si="0"/>
        <v>1</v>
      </c>
      <c r="T17">
        <f t="shared" si="0"/>
        <v>1</v>
      </c>
      <c r="U17">
        <f t="shared" si="0"/>
        <v>1</v>
      </c>
      <c r="V17">
        <f t="shared" si="0"/>
        <v>1</v>
      </c>
      <c r="W17">
        <f t="shared" si="0"/>
        <v>1</v>
      </c>
    </row>
    <row r="23" spans="2:23" x14ac:dyDescent="0.2">
      <c r="B23">
        <v>9.5959595959595911E-2</v>
      </c>
      <c r="C23">
        <v>-0.19191919191919193</v>
      </c>
      <c r="D23">
        <v>4.545454545454547E-2</v>
      </c>
      <c r="E23">
        <v>0.10101010101010105</v>
      </c>
      <c r="F23">
        <v>0.11616161616161613</v>
      </c>
      <c r="G23">
        <v>0.14141414141414144</v>
      </c>
      <c r="H23">
        <v>0.24242424242424238</v>
      </c>
      <c r="I23">
        <v>5.555555555555558E-2</v>
      </c>
      <c r="J23">
        <v>-4.0404040404040442E-2</v>
      </c>
      <c r="K23">
        <v>0.46464646464646459</v>
      </c>
      <c r="L23">
        <v>0.21212121212121215</v>
      </c>
      <c r="M23">
        <v>7.0707070707070607E-2</v>
      </c>
      <c r="N23">
        <v>-2.5252525252525304E-2</v>
      </c>
      <c r="O23">
        <v>0.57575757575757569</v>
      </c>
      <c r="P23">
        <v>-0.41414141414141414</v>
      </c>
      <c r="Q23">
        <v>-0.35353535353535348</v>
      </c>
      <c r="R23">
        <v>0.1767676767676768</v>
      </c>
      <c r="S23">
        <v>1.5151515151515138E-2</v>
      </c>
      <c r="T23">
        <v>0.28282828282828287</v>
      </c>
      <c r="U23">
        <v>0.17171717171717171</v>
      </c>
      <c r="V23">
        <v>0.43939393939393945</v>
      </c>
      <c r="W23">
        <v>0.37878787878787884</v>
      </c>
    </row>
    <row r="26" spans="2:23" x14ac:dyDescent="0.2">
      <c r="B26">
        <v>6.944444444444442E-2</v>
      </c>
      <c r="C26">
        <v>-0.19097222222222221</v>
      </c>
      <c r="D26">
        <v>3.125E-2</v>
      </c>
      <c r="E26">
        <v>8.680555555555558E-2</v>
      </c>
      <c r="F26">
        <v>0.12847222222222221</v>
      </c>
      <c r="G26">
        <v>0.12152777777777779</v>
      </c>
      <c r="H26">
        <v>0.22916666666666663</v>
      </c>
      <c r="I26">
        <v>3.472222222222221E-2</v>
      </c>
      <c r="J26">
        <v>-3.472222222222221E-2</v>
      </c>
      <c r="K26">
        <v>0.45138888888888884</v>
      </c>
      <c r="L26">
        <v>0.1875</v>
      </c>
      <c r="M26">
        <v>7.638888888888884E-2</v>
      </c>
      <c r="N26">
        <v>-2.430555555555558E-2</v>
      </c>
      <c r="O26">
        <v>0.57291666666666663</v>
      </c>
      <c r="P26">
        <v>-0.41319444444444442</v>
      </c>
      <c r="Q26">
        <v>-0.35069444444444442</v>
      </c>
      <c r="R26">
        <v>0.19097222222222221</v>
      </c>
      <c r="S26">
        <v>2.083333333333337E-2</v>
      </c>
      <c r="T26">
        <v>0.30555555555555558</v>
      </c>
      <c r="U26">
        <v>0.15277777777777779</v>
      </c>
      <c r="V26">
        <v>0.42708333333333337</v>
      </c>
      <c r="W26">
        <v>0.36458333333333337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4659-FB0C-394B-8807-F478EA049A34}">
  <dimension ref="A1:AG86"/>
  <sheetViews>
    <sheetView workbookViewId="0">
      <pane ySplit="1" topLeftCell="A40" activePane="bottomLeft" state="frozen"/>
      <selection pane="bottomLeft" activeCell="AA68" sqref="AA68"/>
    </sheetView>
  </sheetViews>
  <sheetFormatPr baseColWidth="10" defaultRowHeight="16" x14ac:dyDescent="0.2"/>
  <cols>
    <col min="1" max="1" width="19.6640625" bestFit="1" customWidth="1"/>
    <col min="2" max="2" width="11.33203125" bestFit="1" customWidth="1"/>
    <col min="3" max="3" width="11.6640625" bestFit="1" customWidth="1"/>
    <col min="6" max="7" width="10.83203125" customWidth="1"/>
    <col min="29" max="29" width="12.1640625" bestFit="1" customWidth="1"/>
  </cols>
  <sheetData>
    <row r="1" spans="1:33" s="3" customFormat="1" ht="19" x14ac:dyDescent="0.25">
      <c r="A1" s="3" t="s">
        <v>0</v>
      </c>
      <c r="B1" s="3" t="s">
        <v>1</v>
      </c>
      <c r="C1" s="3" t="s">
        <v>2</v>
      </c>
      <c r="F1" s="4">
        <v>1</v>
      </c>
      <c r="G1" s="4">
        <v>2</v>
      </c>
      <c r="H1" s="4">
        <v>3</v>
      </c>
      <c r="I1" s="4">
        <v>4</v>
      </c>
      <c r="J1" s="4">
        <v>5</v>
      </c>
      <c r="K1" s="4">
        <v>6</v>
      </c>
      <c r="L1" s="4">
        <v>7</v>
      </c>
      <c r="M1" s="4">
        <v>8</v>
      </c>
      <c r="N1" s="4">
        <v>9</v>
      </c>
      <c r="O1" s="4">
        <v>10</v>
      </c>
      <c r="P1" s="4">
        <v>11</v>
      </c>
      <c r="Q1" s="4">
        <v>12</v>
      </c>
      <c r="R1" s="4">
        <v>13</v>
      </c>
      <c r="S1" s="4">
        <v>14</v>
      </c>
      <c r="T1" s="4">
        <v>15</v>
      </c>
      <c r="U1" s="4">
        <v>16</v>
      </c>
      <c r="V1" s="4">
        <v>17</v>
      </c>
      <c r="W1" s="4">
        <v>18</v>
      </c>
      <c r="X1" s="4">
        <v>19</v>
      </c>
      <c r="Y1" s="4">
        <v>20</v>
      </c>
      <c r="Z1" s="4">
        <v>21</v>
      </c>
      <c r="AA1" s="4">
        <v>22</v>
      </c>
      <c r="AB1" s="3" t="s">
        <v>55</v>
      </c>
      <c r="AC1" s="3" t="s">
        <v>56</v>
      </c>
    </row>
    <row r="2" spans="1:33" x14ac:dyDescent="0.2">
      <c r="A2" t="s">
        <v>3</v>
      </c>
      <c r="B2">
        <v>15</v>
      </c>
      <c r="C2">
        <v>16</v>
      </c>
      <c r="I2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  <c r="S2" t="s">
        <v>43</v>
      </c>
      <c r="T2" t="s">
        <v>53</v>
      </c>
      <c r="U2" t="s">
        <v>53</v>
      </c>
      <c r="V2" t="s">
        <v>53</v>
      </c>
      <c r="W2" t="s">
        <v>53</v>
      </c>
      <c r="Y2" t="s">
        <v>53</v>
      </c>
      <c r="Z2" t="s">
        <v>53</v>
      </c>
      <c r="AB2" cm="1">
        <f t="array" ref="AB2">SUM(IF("X" = F2:AA2, 1, 0))</f>
        <v>15</v>
      </c>
      <c r="AC2" cm="1">
        <f t="array" ref="AC2">SUM(IF("?" = F2:AA2, 1, 0)) + AB2</f>
        <v>16</v>
      </c>
      <c r="AF2" t="b">
        <f>AB2=B2</f>
        <v>1</v>
      </c>
      <c r="AG2" t="b">
        <f>AC2=C2</f>
        <v>1</v>
      </c>
    </row>
    <row r="3" spans="1:33" x14ac:dyDescent="0.2">
      <c r="A3" t="s">
        <v>4</v>
      </c>
      <c r="B3">
        <v>10</v>
      </c>
      <c r="C3">
        <v>12</v>
      </c>
      <c r="G3" t="s">
        <v>53</v>
      </c>
      <c r="J3" t="s">
        <v>53</v>
      </c>
      <c r="N3" t="s">
        <v>53</v>
      </c>
      <c r="Q3" t="s">
        <v>53</v>
      </c>
      <c r="R3" t="s">
        <v>53</v>
      </c>
      <c r="S3" t="s">
        <v>43</v>
      </c>
      <c r="T3" t="s">
        <v>53</v>
      </c>
      <c r="U3" t="s">
        <v>53</v>
      </c>
      <c r="V3" t="s">
        <v>53</v>
      </c>
      <c r="W3" t="s">
        <v>53</v>
      </c>
      <c r="X3" t="s">
        <v>53</v>
      </c>
      <c r="AA3" t="s">
        <v>43</v>
      </c>
      <c r="AB3" cm="1">
        <f t="array" ref="AB3">SUM(IF("X" = F3:AA3, 1, 0))</f>
        <v>10</v>
      </c>
      <c r="AC3" cm="1">
        <f t="array" ref="AC3">SUM(IF("?" = F3:AA3, 1, 0)) + AB3</f>
        <v>12</v>
      </c>
      <c r="AF3" t="b">
        <f t="shared" ref="AF3:AG34" si="0">AB3=B3</f>
        <v>1</v>
      </c>
      <c r="AG3" t="b">
        <f t="shared" si="0"/>
        <v>1</v>
      </c>
    </row>
    <row r="4" spans="1:33" x14ac:dyDescent="0.2">
      <c r="A4" t="s">
        <v>5</v>
      </c>
      <c r="B4">
        <v>13</v>
      </c>
      <c r="C4">
        <v>13</v>
      </c>
      <c r="F4" t="s">
        <v>53</v>
      </c>
      <c r="G4" t="s">
        <v>53</v>
      </c>
      <c r="O4" t="s">
        <v>53</v>
      </c>
      <c r="P4" t="s">
        <v>53</v>
      </c>
      <c r="Q4" t="s">
        <v>53</v>
      </c>
      <c r="R4" t="s">
        <v>53</v>
      </c>
      <c r="T4" t="s">
        <v>53</v>
      </c>
      <c r="U4" t="s">
        <v>53</v>
      </c>
      <c r="V4" t="s">
        <v>53</v>
      </c>
      <c r="W4" t="s">
        <v>53</v>
      </c>
      <c r="X4" t="s">
        <v>53</v>
      </c>
      <c r="Y4" t="s">
        <v>53</v>
      </c>
      <c r="AA4" t="s">
        <v>53</v>
      </c>
      <c r="AB4" cm="1">
        <f t="array" ref="AB4">SUM(IF("X" = F4:AA4, 1, 0))</f>
        <v>13</v>
      </c>
      <c r="AC4" cm="1">
        <f t="array" ref="AC4">SUM(IF("?" = F4:AA4, 1, 0)) + AB4</f>
        <v>13</v>
      </c>
      <c r="AF4" t="b">
        <f t="shared" si="0"/>
        <v>1</v>
      </c>
      <c r="AG4" t="b">
        <f t="shared" si="0"/>
        <v>1</v>
      </c>
    </row>
    <row r="5" spans="1:33" x14ac:dyDescent="0.2">
      <c r="A5" t="s">
        <v>6</v>
      </c>
      <c r="B5">
        <v>19</v>
      </c>
      <c r="C5">
        <v>19</v>
      </c>
      <c r="F5" t="s">
        <v>53</v>
      </c>
      <c r="G5" t="s">
        <v>53</v>
      </c>
      <c r="H5" t="s">
        <v>53</v>
      </c>
      <c r="I5" t="s">
        <v>53</v>
      </c>
      <c r="J5" t="s">
        <v>53</v>
      </c>
      <c r="K5" t="s">
        <v>53</v>
      </c>
      <c r="L5" t="s">
        <v>53</v>
      </c>
      <c r="M5" t="s">
        <v>53</v>
      </c>
      <c r="O5" t="s">
        <v>53</v>
      </c>
      <c r="P5" t="s">
        <v>53</v>
      </c>
      <c r="Q5" t="s">
        <v>53</v>
      </c>
      <c r="R5" t="s">
        <v>53</v>
      </c>
      <c r="S5" t="s">
        <v>53</v>
      </c>
      <c r="T5" t="s">
        <v>53</v>
      </c>
      <c r="U5" t="s">
        <v>53</v>
      </c>
      <c r="W5" t="s">
        <v>53</v>
      </c>
      <c r="X5" t="s">
        <v>53</v>
      </c>
      <c r="Y5" t="s">
        <v>53</v>
      </c>
      <c r="AA5" t="s">
        <v>53</v>
      </c>
      <c r="AB5" cm="1">
        <f t="array" ref="AB5">SUM(IF("X" = F5:AA5, 1, 0))</f>
        <v>19</v>
      </c>
      <c r="AC5" cm="1">
        <f t="array" ref="AC5">SUM(IF("?" = F5:AA5, 1, 0)) + AB5</f>
        <v>19</v>
      </c>
      <c r="AF5" t="b">
        <f t="shared" si="0"/>
        <v>1</v>
      </c>
      <c r="AG5" t="b">
        <f t="shared" si="0"/>
        <v>1</v>
      </c>
    </row>
    <row r="6" spans="1:33" x14ac:dyDescent="0.2">
      <c r="A6" t="s">
        <v>7</v>
      </c>
      <c r="B6">
        <v>12</v>
      </c>
      <c r="C6">
        <v>13</v>
      </c>
      <c r="G6" t="s">
        <v>53</v>
      </c>
      <c r="I6" t="s">
        <v>53</v>
      </c>
      <c r="J6" t="s">
        <v>53</v>
      </c>
      <c r="K6" t="s">
        <v>53</v>
      </c>
      <c r="L6" t="s">
        <v>53</v>
      </c>
      <c r="M6" t="s">
        <v>53</v>
      </c>
      <c r="O6" t="s">
        <v>43</v>
      </c>
      <c r="T6" t="s">
        <v>53</v>
      </c>
      <c r="W6" t="s">
        <v>53</v>
      </c>
      <c r="X6" t="s">
        <v>53</v>
      </c>
      <c r="Y6" t="s">
        <v>53</v>
      </c>
      <c r="Z6" t="s">
        <v>53</v>
      </c>
      <c r="AA6" t="s">
        <v>53</v>
      </c>
      <c r="AB6" cm="1">
        <f t="array" ref="AB6">SUM(IF("X" = F6:AA6, 1, 0))</f>
        <v>12</v>
      </c>
      <c r="AC6" cm="1">
        <f t="array" ref="AC6">SUM(IF("?" = F6:AA6, 1, 0)) + AB6</f>
        <v>13</v>
      </c>
      <c r="AF6" t="b">
        <f t="shared" si="0"/>
        <v>1</v>
      </c>
      <c r="AG6" t="b">
        <f t="shared" si="0"/>
        <v>1</v>
      </c>
    </row>
    <row r="7" spans="1:33" x14ac:dyDescent="0.2">
      <c r="A7" t="s">
        <v>8</v>
      </c>
      <c r="B7">
        <v>16</v>
      </c>
      <c r="C7">
        <v>16</v>
      </c>
      <c r="G7" t="s">
        <v>53</v>
      </c>
      <c r="I7" t="s">
        <v>53</v>
      </c>
      <c r="J7" t="s">
        <v>53</v>
      </c>
      <c r="K7" t="s">
        <v>53</v>
      </c>
      <c r="L7" t="s">
        <v>53</v>
      </c>
      <c r="M7" t="s">
        <v>53</v>
      </c>
      <c r="N7" t="s">
        <v>53</v>
      </c>
      <c r="O7" t="s">
        <v>53</v>
      </c>
      <c r="P7" t="s">
        <v>53</v>
      </c>
      <c r="R7" t="s">
        <v>53</v>
      </c>
      <c r="T7" t="s">
        <v>53</v>
      </c>
      <c r="U7" t="s">
        <v>53</v>
      </c>
      <c r="V7" t="s">
        <v>53</v>
      </c>
      <c r="W7" t="s">
        <v>53</v>
      </c>
      <c r="Y7" t="s">
        <v>53</v>
      </c>
      <c r="AA7" t="s">
        <v>53</v>
      </c>
      <c r="AB7" cm="1">
        <f t="array" ref="AB7">SUM(IF("X" = F7:AA7, 1, 0))</f>
        <v>16</v>
      </c>
      <c r="AC7" cm="1">
        <f t="array" ref="AC7">SUM(IF("?" = F7:AA7, 1, 0)) + AB7</f>
        <v>16</v>
      </c>
      <c r="AF7" t="b">
        <f t="shared" si="0"/>
        <v>1</v>
      </c>
      <c r="AG7" t="b">
        <f t="shared" si="0"/>
        <v>1</v>
      </c>
    </row>
    <row r="8" spans="1:33" x14ac:dyDescent="0.2">
      <c r="A8" t="s">
        <v>9</v>
      </c>
      <c r="B8">
        <v>12</v>
      </c>
      <c r="C8">
        <v>14</v>
      </c>
      <c r="F8" t="s">
        <v>53</v>
      </c>
      <c r="G8" t="s">
        <v>53</v>
      </c>
      <c r="H8" t="s">
        <v>53</v>
      </c>
      <c r="M8" t="s">
        <v>53</v>
      </c>
      <c r="N8" t="s">
        <v>53</v>
      </c>
      <c r="O8" t="s">
        <v>53</v>
      </c>
      <c r="Q8" t="s">
        <v>53</v>
      </c>
      <c r="R8" t="s">
        <v>53</v>
      </c>
      <c r="S8" t="s">
        <v>43</v>
      </c>
      <c r="T8" t="s">
        <v>53</v>
      </c>
      <c r="U8" t="s">
        <v>43</v>
      </c>
      <c r="V8" t="s">
        <v>53</v>
      </c>
      <c r="Y8" t="s">
        <v>53</v>
      </c>
      <c r="AA8" t="s">
        <v>53</v>
      </c>
      <c r="AB8" cm="1">
        <f t="array" ref="AB8">SUM(IF("X" = F8:AA8, 1, 0))</f>
        <v>12</v>
      </c>
      <c r="AC8" cm="1">
        <f t="array" ref="AC8">SUM(IF("?" = F8:AA8, 1, 0)) + AB8</f>
        <v>14</v>
      </c>
      <c r="AF8" t="b">
        <f t="shared" si="0"/>
        <v>1</v>
      </c>
      <c r="AG8" t="b">
        <f t="shared" si="0"/>
        <v>1</v>
      </c>
    </row>
    <row r="9" spans="1:33" x14ac:dyDescent="0.2">
      <c r="A9" t="s">
        <v>10</v>
      </c>
      <c r="B9">
        <v>17</v>
      </c>
      <c r="C9">
        <v>18</v>
      </c>
      <c r="F9" t="s">
        <v>53</v>
      </c>
      <c r="G9" t="s">
        <v>53</v>
      </c>
      <c r="H9" t="s">
        <v>53</v>
      </c>
      <c r="I9" t="s">
        <v>53</v>
      </c>
      <c r="J9" t="s">
        <v>53</v>
      </c>
      <c r="K9" t="s">
        <v>53</v>
      </c>
      <c r="M9" t="s">
        <v>53</v>
      </c>
      <c r="N9" t="s">
        <v>53</v>
      </c>
      <c r="O9" t="s">
        <v>43</v>
      </c>
      <c r="P9" t="s">
        <v>53</v>
      </c>
      <c r="Q9" t="s">
        <v>53</v>
      </c>
      <c r="R9" t="s">
        <v>53</v>
      </c>
      <c r="S9" t="s">
        <v>53</v>
      </c>
      <c r="T9" t="s">
        <v>53</v>
      </c>
      <c r="U9" t="s">
        <v>53</v>
      </c>
      <c r="W9" t="s">
        <v>53</v>
      </c>
      <c r="Z9" t="s">
        <v>53</v>
      </c>
      <c r="AA9" t="s">
        <v>53</v>
      </c>
      <c r="AB9" cm="1">
        <f t="array" ref="AB9">SUM(IF("X" = F9:AA9, 1, 0))</f>
        <v>17</v>
      </c>
      <c r="AC9" cm="1">
        <f t="array" ref="AC9">SUM(IF("?" = F9:AA9, 1, 0)) + AB9</f>
        <v>18</v>
      </c>
      <c r="AF9" t="b">
        <f t="shared" si="0"/>
        <v>1</v>
      </c>
      <c r="AG9" t="b">
        <f t="shared" si="0"/>
        <v>1</v>
      </c>
    </row>
    <row r="10" spans="1:33" x14ac:dyDescent="0.2">
      <c r="A10" t="s">
        <v>54</v>
      </c>
      <c r="B10">
        <v>16</v>
      </c>
      <c r="C10">
        <v>19</v>
      </c>
      <c r="F10" t="s">
        <v>53</v>
      </c>
      <c r="G10" t="s">
        <v>53</v>
      </c>
      <c r="H10" t="s">
        <v>53</v>
      </c>
      <c r="J10" t="s">
        <v>53</v>
      </c>
      <c r="K10" t="s">
        <v>53</v>
      </c>
      <c r="L10" t="s">
        <v>53</v>
      </c>
      <c r="M10" t="s">
        <v>53</v>
      </c>
      <c r="N10" t="s">
        <v>53</v>
      </c>
      <c r="O10" t="s">
        <v>43</v>
      </c>
      <c r="P10" t="s">
        <v>53</v>
      </c>
      <c r="Q10" t="s">
        <v>53</v>
      </c>
      <c r="R10" t="s">
        <v>53</v>
      </c>
      <c r="S10" t="s">
        <v>43</v>
      </c>
      <c r="T10" t="s">
        <v>53</v>
      </c>
      <c r="U10" t="s">
        <v>53</v>
      </c>
      <c r="W10" t="s">
        <v>53</v>
      </c>
      <c r="X10" t="s">
        <v>53</v>
      </c>
      <c r="Y10" t="s">
        <v>53</v>
      </c>
      <c r="AA10" t="s">
        <v>43</v>
      </c>
      <c r="AB10" cm="1">
        <f t="array" ref="AB10">SUM(IF("X" = F10:AA10, 1, 0))</f>
        <v>16</v>
      </c>
      <c r="AC10" cm="1">
        <f t="array" ref="AC10">SUM(IF("?" = F10:AA10, 1, 0)) + AB10</f>
        <v>19</v>
      </c>
      <c r="AF10" t="b">
        <f t="shared" si="0"/>
        <v>1</v>
      </c>
      <c r="AG10" t="b">
        <f t="shared" si="0"/>
        <v>1</v>
      </c>
    </row>
    <row r="11" spans="1:33" x14ac:dyDescent="0.2">
      <c r="A11" t="s">
        <v>11</v>
      </c>
      <c r="B11">
        <v>14</v>
      </c>
      <c r="C11">
        <v>15</v>
      </c>
      <c r="F11" t="s">
        <v>53</v>
      </c>
      <c r="G11" t="s">
        <v>53</v>
      </c>
      <c r="H11" t="s">
        <v>53</v>
      </c>
      <c r="J11" t="s">
        <v>53</v>
      </c>
      <c r="K11" t="s">
        <v>53</v>
      </c>
      <c r="M11" t="s">
        <v>53</v>
      </c>
      <c r="Q11" t="s">
        <v>53</v>
      </c>
      <c r="R11" t="s">
        <v>53</v>
      </c>
      <c r="S11" t="s">
        <v>43</v>
      </c>
      <c r="T11" t="s">
        <v>53</v>
      </c>
      <c r="U11" t="s">
        <v>53</v>
      </c>
      <c r="W11" t="s">
        <v>53</v>
      </c>
      <c r="X11" t="s">
        <v>53</v>
      </c>
      <c r="Z11" t="s">
        <v>53</v>
      </c>
      <c r="AA11" t="s">
        <v>53</v>
      </c>
      <c r="AB11" cm="1">
        <f t="array" ref="AB11">SUM(IF("X" = F11:AA11, 1, 0))</f>
        <v>14</v>
      </c>
      <c r="AC11" cm="1">
        <f t="array" ref="AC11">SUM(IF("?" = F11:AA11, 1, 0)) + AB11</f>
        <v>15</v>
      </c>
      <c r="AF11" t="b">
        <f t="shared" si="0"/>
        <v>1</v>
      </c>
      <c r="AG11" t="b">
        <f t="shared" si="0"/>
        <v>1</v>
      </c>
    </row>
    <row r="12" spans="1:33" x14ac:dyDescent="0.2">
      <c r="A12" t="s">
        <v>12</v>
      </c>
      <c r="B12">
        <v>15</v>
      </c>
      <c r="C12">
        <v>17</v>
      </c>
      <c r="F12" t="s">
        <v>53</v>
      </c>
      <c r="G12" t="s">
        <v>53</v>
      </c>
      <c r="H12" t="s">
        <v>53</v>
      </c>
      <c r="J12" t="s">
        <v>53</v>
      </c>
      <c r="K12" t="s">
        <v>53</v>
      </c>
      <c r="L12" t="s">
        <v>53</v>
      </c>
      <c r="M12" t="s">
        <v>53</v>
      </c>
      <c r="N12" t="s">
        <v>53</v>
      </c>
      <c r="O12" t="s">
        <v>53</v>
      </c>
      <c r="Q12" t="s">
        <v>53</v>
      </c>
      <c r="R12" t="s">
        <v>53</v>
      </c>
      <c r="S12" t="s">
        <v>43</v>
      </c>
      <c r="T12" t="s">
        <v>53</v>
      </c>
      <c r="U12" t="s">
        <v>53</v>
      </c>
      <c r="V12" t="s">
        <v>53</v>
      </c>
      <c r="W12" t="s">
        <v>53</v>
      </c>
      <c r="AA12" t="s">
        <v>43</v>
      </c>
      <c r="AB12" cm="1">
        <f t="array" ref="AB12">SUM(IF("X" = F12:AA12, 1, 0))</f>
        <v>15</v>
      </c>
      <c r="AC12" cm="1">
        <f t="array" ref="AC12">SUM(IF("?" = F12:AA12, 1, 0)) + AB12</f>
        <v>17</v>
      </c>
      <c r="AF12" t="b">
        <f t="shared" si="0"/>
        <v>1</v>
      </c>
      <c r="AG12" t="b">
        <f t="shared" si="0"/>
        <v>1</v>
      </c>
    </row>
    <row r="13" spans="1:33" x14ac:dyDescent="0.2">
      <c r="A13" t="s">
        <v>13</v>
      </c>
      <c r="B13">
        <v>13</v>
      </c>
      <c r="C13">
        <v>17</v>
      </c>
      <c r="F13" t="s">
        <v>53</v>
      </c>
      <c r="G13" t="s">
        <v>53</v>
      </c>
      <c r="I13" t="s">
        <v>53</v>
      </c>
      <c r="J13" t="s">
        <v>43</v>
      </c>
      <c r="K13" t="s">
        <v>53</v>
      </c>
      <c r="L13" t="s">
        <v>53</v>
      </c>
      <c r="M13" t="s">
        <v>53</v>
      </c>
      <c r="N13" t="s">
        <v>53</v>
      </c>
      <c r="P13" t="s">
        <v>53</v>
      </c>
      <c r="Q13" t="s">
        <v>53</v>
      </c>
      <c r="R13" t="s">
        <v>53</v>
      </c>
      <c r="S13" t="s">
        <v>43</v>
      </c>
      <c r="T13" t="s">
        <v>53</v>
      </c>
      <c r="U13" t="s">
        <v>53</v>
      </c>
      <c r="W13" t="s">
        <v>53</v>
      </c>
      <c r="Z13" t="s">
        <v>43</v>
      </c>
      <c r="AA13" t="s">
        <v>43</v>
      </c>
      <c r="AB13" cm="1">
        <f t="array" ref="AB13">SUM(IF("X" = F13:AA13, 1, 0))</f>
        <v>13</v>
      </c>
      <c r="AC13" cm="1">
        <f t="array" ref="AC13">SUM(IF("?" = F13:AA13, 1, 0)) + AB13</f>
        <v>17</v>
      </c>
      <c r="AF13" t="b">
        <f t="shared" si="0"/>
        <v>1</v>
      </c>
      <c r="AG13" t="b">
        <f t="shared" si="0"/>
        <v>1</v>
      </c>
    </row>
    <row r="14" spans="1:33" x14ac:dyDescent="0.2">
      <c r="A14" t="s">
        <v>57</v>
      </c>
      <c r="B14">
        <v>13</v>
      </c>
      <c r="C14">
        <v>15</v>
      </c>
      <c r="F14" t="s">
        <v>53</v>
      </c>
      <c r="G14" t="s">
        <v>53</v>
      </c>
      <c r="J14" t="s">
        <v>53</v>
      </c>
      <c r="M14" t="s">
        <v>53</v>
      </c>
      <c r="N14" t="s">
        <v>53</v>
      </c>
      <c r="O14" t="s">
        <v>53</v>
      </c>
      <c r="P14" t="s">
        <v>53</v>
      </c>
      <c r="Q14" t="s">
        <v>53</v>
      </c>
      <c r="R14" t="s">
        <v>53</v>
      </c>
      <c r="S14" t="s">
        <v>43</v>
      </c>
      <c r="T14" t="s">
        <v>53</v>
      </c>
      <c r="U14" t="s">
        <v>53</v>
      </c>
      <c r="V14" t="s">
        <v>53</v>
      </c>
      <c r="Y14" t="s">
        <v>53</v>
      </c>
      <c r="AA14" t="s">
        <v>43</v>
      </c>
      <c r="AB14" cm="1">
        <f t="array" ref="AB14">SUM(IF("X" = F14:AA14, 1, 0))</f>
        <v>13</v>
      </c>
      <c r="AC14" cm="1">
        <f t="array" ref="AC14">SUM(IF("?" = F14:AA14, 1, 0)) + AB14</f>
        <v>15</v>
      </c>
      <c r="AF14" t="b">
        <f t="shared" si="0"/>
        <v>1</v>
      </c>
      <c r="AG14" t="b">
        <f t="shared" si="0"/>
        <v>1</v>
      </c>
    </row>
    <row r="15" spans="1:33" x14ac:dyDescent="0.2">
      <c r="A15" t="s">
        <v>14</v>
      </c>
      <c r="B15">
        <v>13</v>
      </c>
      <c r="C15">
        <v>15</v>
      </c>
      <c r="F15" t="s">
        <v>53</v>
      </c>
      <c r="G15" t="s">
        <v>53</v>
      </c>
      <c r="J15" t="s">
        <v>53</v>
      </c>
      <c r="K15" t="s">
        <v>53</v>
      </c>
      <c r="N15" t="s">
        <v>53</v>
      </c>
      <c r="O15" t="s">
        <v>43</v>
      </c>
      <c r="P15" t="s">
        <v>53</v>
      </c>
      <c r="Q15" t="s">
        <v>53</v>
      </c>
      <c r="R15" t="s">
        <v>53</v>
      </c>
      <c r="T15" t="s">
        <v>53</v>
      </c>
      <c r="U15" t="s">
        <v>53</v>
      </c>
      <c r="W15" t="s">
        <v>53</v>
      </c>
      <c r="X15" t="s">
        <v>53</v>
      </c>
      <c r="Y15" t="s">
        <v>53</v>
      </c>
      <c r="AA15" t="s">
        <v>43</v>
      </c>
      <c r="AB15" cm="1">
        <f t="array" ref="AB15">SUM(IF("X" = F15:AA15, 1, 0))</f>
        <v>13</v>
      </c>
      <c r="AC15" cm="1">
        <f t="array" ref="AC15">SUM(IF("?" = F15:AA15, 1, 0)) + AB15</f>
        <v>15</v>
      </c>
      <c r="AF15" t="b">
        <f t="shared" si="0"/>
        <v>1</v>
      </c>
      <c r="AG15" t="b">
        <f t="shared" si="0"/>
        <v>1</v>
      </c>
    </row>
    <row r="16" spans="1:33" x14ac:dyDescent="0.2">
      <c r="A16" t="s">
        <v>15</v>
      </c>
      <c r="B16">
        <v>14</v>
      </c>
      <c r="C16">
        <v>17</v>
      </c>
      <c r="F16" t="s">
        <v>53</v>
      </c>
      <c r="G16" t="s">
        <v>53</v>
      </c>
      <c r="H16" t="s">
        <v>53</v>
      </c>
      <c r="I16" t="s">
        <v>53</v>
      </c>
      <c r="K16" t="s">
        <v>53</v>
      </c>
      <c r="M16" t="s">
        <v>53</v>
      </c>
      <c r="N16" t="s">
        <v>53</v>
      </c>
      <c r="O16" t="s">
        <v>43</v>
      </c>
      <c r="P16" t="s">
        <v>53</v>
      </c>
      <c r="Q16" t="s">
        <v>53</v>
      </c>
      <c r="R16" t="s">
        <v>53</v>
      </c>
      <c r="T16" t="s">
        <v>53</v>
      </c>
      <c r="U16" t="s">
        <v>53</v>
      </c>
      <c r="V16" t="s">
        <v>43</v>
      </c>
      <c r="W16" t="s">
        <v>53</v>
      </c>
      <c r="Y16" t="s">
        <v>53</v>
      </c>
      <c r="AA16" t="s">
        <v>43</v>
      </c>
      <c r="AB16" cm="1">
        <f t="array" ref="AB16">SUM(IF("X" = F16:AA16, 1, 0))</f>
        <v>14</v>
      </c>
      <c r="AC16" cm="1">
        <f t="array" ref="AC16">SUM(IF("?" = F16:AA16, 1, 0)) + AB16</f>
        <v>17</v>
      </c>
      <c r="AF16" t="b">
        <f t="shared" si="0"/>
        <v>1</v>
      </c>
      <c r="AG16" t="b">
        <f t="shared" si="0"/>
        <v>1</v>
      </c>
    </row>
    <row r="17" spans="1:33" x14ac:dyDescent="0.2">
      <c r="A17" t="s">
        <v>16</v>
      </c>
      <c r="B17">
        <v>12</v>
      </c>
      <c r="C17">
        <v>14</v>
      </c>
      <c r="F17" t="s">
        <v>53</v>
      </c>
      <c r="G17" t="s">
        <v>53</v>
      </c>
      <c r="J17" t="s">
        <v>53</v>
      </c>
      <c r="M17" t="s">
        <v>53</v>
      </c>
      <c r="N17" t="s">
        <v>53</v>
      </c>
      <c r="O17" t="s">
        <v>43</v>
      </c>
      <c r="P17" t="s">
        <v>53</v>
      </c>
      <c r="Q17" t="s">
        <v>53</v>
      </c>
      <c r="R17" t="s">
        <v>53</v>
      </c>
      <c r="S17" t="s">
        <v>43</v>
      </c>
      <c r="T17" t="s">
        <v>53</v>
      </c>
      <c r="U17" t="s">
        <v>53</v>
      </c>
      <c r="W17" t="s">
        <v>53</v>
      </c>
      <c r="AA17" t="s">
        <v>53</v>
      </c>
      <c r="AB17" cm="1">
        <f t="array" ref="AB17">SUM(IF("X" = F17:AA17, 1, 0))</f>
        <v>12</v>
      </c>
      <c r="AC17" cm="1">
        <f t="array" ref="AC17">SUM(IF("?" = F17:AA17, 1, 0)) + AB17</f>
        <v>14</v>
      </c>
      <c r="AF17" t="b">
        <f t="shared" si="0"/>
        <v>1</v>
      </c>
      <c r="AG17" t="b">
        <f t="shared" si="0"/>
        <v>1</v>
      </c>
    </row>
    <row r="18" spans="1:33" x14ac:dyDescent="0.2">
      <c r="A18" t="s">
        <v>17</v>
      </c>
      <c r="B18">
        <v>12</v>
      </c>
      <c r="C18">
        <v>12</v>
      </c>
      <c r="G18" t="s">
        <v>53</v>
      </c>
      <c r="K18" t="s">
        <v>53</v>
      </c>
      <c r="M18" t="s">
        <v>53</v>
      </c>
      <c r="N18" t="s">
        <v>53</v>
      </c>
      <c r="P18" t="s">
        <v>53</v>
      </c>
      <c r="Q18" t="s">
        <v>53</v>
      </c>
      <c r="R18" t="s">
        <v>53</v>
      </c>
      <c r="S18" t="s">
        <v>53</v>
      </c>
      <c r="T18" t="s">
        <v>53</v>
      </c>
      <c r="U18" t="s">
        <v>53</v>
      </c>
      <c r="W18" t="s">
        <v>53</v>
      </c>
      <c r="Y18" t="s">
        <v>53</v>
      </c>
      <c r="AB18" cm="1">
        <f t="array" ref="AB18">SUM(IF("X" = F18:AA18, 1, 0))</f>
        <v>12</v>
      </c>
      <c r="AC18" cm="1">
        <f t="array" ref="AC18">SUM(IF("?" = F18:AA18, 1, 0)) + AB18</f>
        <v>12</v>
      </c>
      <c r="AF18" t="b">
        <f t="shared" si="0"/>
        <v>1</v>
      </c>
      <c r="AG18" t="b">
        <f t="shared" si="0"/>
        <v>1</v>
      </c>
    </row>
    <row r="19" spans="1:33" x14ac:dyDescent="0.2">
      <c r="A19" t="s">
        <v>18</v>
      </c>
      <c r="B19">
        <v>14</v>
      </c>
      <c r="C19">
        <v>15</v>
      </c>
      <c r="F19" t="s">
        <v>53</v>
      </c>
      <c r="G19" t="s">
        <v>53</v>
      </c>
      <c r="K19" t="s">
        <v>53</v>
      </c>
      <c r="L19" t="s">
        <v>53</v>
      </c>
      <c r="N19" t="s">
        <v>53</v>
      </c>
      <c r="O19" t="s">
        <v>53</v>
      </c>
      <c r="P19" t="s">
        <v>53</v>
      </c>
      <c r="Q19" t="s">
        <v>53</v>
      </c>
      <c r="R19" t="s">
        <v>53</v>
      </c>
      <c r="S19" t="s">
        <v>43</v>
      </c>
      <c r="T19" t="s">
        <v>53</v>
      </c>
      <c r="U19" t="s">
        <v>53</v>
      </c>
      <c r="W19" t="s">
        <v>53</v>
      </c>
      <c r="Z19" t="s">
        <v>53</v>
      </c>
      <c r="AA19" t="s">
        <v>53</v>
      </c>
      <c r="AB19" cm="1">
        <f t="array" ref="AB19">SUM(IF("X" = F19:AA19, 1, 0))</f>
        <v>14</v>
      </c>
      <c r="AC19" cm="1">
        <f t="array" ref="AC19">SUM(IF("?" = F19:AA19, 1, 0)) + AB19</f>
        <v>15</v>
      </c>
      <c r="AF19" t="b">
        <f t="shared" si="0"/>
        <v>1</v>
      </c>
      <c r="AG19" t="b">
        <f t="shared" si="0"/>
        <v>1</v>
      </c>
    </row>
    <row r="20" spans="1:33" x14ac:dyDescent="0.2">
      <c r="A20" t="s">
        <v>19</v>
      </c>
      <c r="B20">
        <v>13</v>
      </c>
      <c r="C20">
        <v>17</v>
      </c>
      <c r="F20" t="s">
        <v>53</v>
      </c>
      <c r="G20" t="s">
        <v>53</v>
      </c>
      <c r="H20" t="s">
        <v>53</v>
      </c>
      <c r="J20" t="s">
        <v>53</v>
      </c>
      <c r="K20" t="s">
        <v>53</v>
      </c>
      <c r="L20" t="s">
        <v>53</v>
      </c>
      <c r="M20" t="s">
        <v>53</v>
      </c>
      <c r="N20" t="s">
        <v>53</v>
      </c>
      <c r="O20" t="s">
        <v>43</v>
      </c>
      <c r="P20" t="s">
        <v>53</v>
      </c>
      <c r="Q20" t="s">
        <v>53</v>
      </c>
      <c r="R20" t="s">
        <v>53</v>
      </c>
      <c r="S20" t="s">
        <v>43</v>
      </c>
      <c r="U20" t="s">
        <v>53</v>
      </c>
      <c r="V20" t="s">
        <v>43</v>
      </c>
      <c r="Y20" t="s">
        <v>53</v>
      </c>
      <c r="AA20" t="s">
        <v>43</v>
      </c>
      <c r="AB20" cm="1">
        <f t="array" ref="AB20">SUM(IF("X" = F20:AA20, 1, 0))</f>
        <v>13</v>
      </c>
      <c r="AC20" cm="1">
        <f t="array" ref="AC20">SUM(IF("?" = F20:AA20, 1, 0)) + AB20</f>
        <v>17</v>
      </c>
      <c r="AF20" t="b">
        <f t="shared" si="0"/>
        <v>1</v>
      </c>
      <c r="AG20" t="b">
        <f t="shared" si="0"/>
        <v>1</v>
      </c>
    </row>
    <row r="21" spans="1:33" x14ac:dyDescent="0.2">
      <c r="A21" t="s">
        <v>20</v>
      </c>
      <c r="B21">
        <v>15</v>
      </c>
      <c r="C21">
        <v>18</v>
      </c>
      <c r="F21" t="s">
        <v>53</v>
      </c>
      <c r="G21" t="s">
        <v>53</v>
      </c>
      <c r="H21" t="s">
        <v>53</v>
      </c>
      <c r="I21" t="s">
        <v>53</v>
      </c>
      <c r="J21" t="s">
        <v>53</v>
      </c>
      <c r="K21" t="s">
        <v>53</v>
      </c>
      <c r="L21" t="s">
        <v>53</v>
      </c>
      <c r="N21" t="s">
        <v>53</v>
      </c>
      <c r="O21" t="s">
        <v>43</v>
      </c>
      <c r="P21" t="s">
        <v>53</v>
      </c>
      <c r="Q21" t="s">
        <v>53</v>
      </c>
      <c r="R21" t="s">
        <v>53</v>
      </c>
      <c r="S21" t="s">
        <v>43</v>
      </c>
      <c r="T21" t="s">
        <v>53</v>
      </c>
      <c r="U21" t="s">
        <v>53</v>
      </c>
      <c r="V21" t="s">
        <v>53</v>
      </c>
      <c r="X21" t="s">
        <v>53</v>
      </c>
      <c r="AA21" t="s">
        <v>43</v>
      </c>
      <c r="AB21" cm="1">
        <f t="array" ref="AB21">SUM(IF("X" = F21:AA21, 1, 0))</f>
        <v>15</v>
      </c>
      <c r="AC21" cm="1">
        <f t="array" ref="AC21">SUM(IF("?" = F21:AA21, 1, 0)) + AB21</f>
        <v>18</v>
      </c>
      <c r="AF21" t="b">
        <f t="shared" si="0"/>
        <v>1</v>
      </c>
      <c r="AG21" t="b">
        <f t="shared" si="0"/>
        <v>1</v>
      </c>
    </row>
    <row r="22" spans="1:33" x14ac:dyDescent="0.2">
      <c r="A22" t="s">
        <v>21</v>
      </c>
      <c r="B22">
        <v>15</v>
      </c>
      <c r="C22">
        <v>16</v>
      </c>
      <c r="F22" t="s">
        <v>53</v>
      </c>
      <c r="G22" t="s">
        <v>53</v>
      </c>
      <c r="H22" t="s">
        <v>53</v>
      </c>
      <c r="I22" t="s">
        <v>53</v>
      </c>
      <c r="J22" t="s">
        <v>53</v>
      </c>
      <c r="K22" t="s">
        <v>53</v>
      </c>
      <c r="M22" t="s">
        <v>53</v>
      </c>
      <c r="Q22" t="s">
        <v>53</v>
      </c>
      <c r="R22" t="s">
        <v>53</v>
      </c>
      <c r="S22" t="s">
        <v>43</v>
      </c>
      <c r="T22" t="s">
        <v>53</v>
      </c>
      <c r="U22" t="s">
        <v>53</v>
      </c>
      <c r="V22" t="s">
        <v>53</v>
      </c>
      <c r="W22" t="s">
        <v>53</v>
      </c>
      <c r="Y22" t="s">
        <v>53</v>
      </c>
      <c r="AA22" t="s">
        <v>53</v>
      </c>
      <c r="AB22" cm="1">
        <f t="array" ref="AB22">SUM(IF("X" = F22:AA22, 1, 0))</f>
        <v>15</v>
      </c>
      <c r="AC22" cm="1">
        <f t="array" ref="AC22">SUM(IF("?" = F22:AA22, 1, 0)) + AB22</f>
        <v>16</v>
      </c>
      <c r="AF22" t="b">
        <f t="shared" si="0"/>
        <v>1</v>
      </c>
      <c r="AG22" t="b">
        <f t="shared" si="0"/>
        <v>1</v>
      </c>
    </row>
    <row r="23" spans="1:33" x14ac:dyDescent="0.2">
      <c r="A23" t="s">
        <v>22</v>
      </c>
      <c r="B23">
        <v>14</v>
      </c>
      <c r="C23">
        <v>16</v>
      </c>
      <c r="F23" t="s">
        <v>53</v>
      </c>
      <c r="G23" t="s">
        <v>53</v>
      </c>
      <c r="K23" t="s">
        <v>53</v>
      </c>
      <c r="L23" t="s">
        <v>53</v>
      </c>
      <c r="N23" t="s">
        <v>53</v>
      </c>
      <c r="O23" t="s">
        <v>43</v>
      </c>
      <c r="P23" t="s">
        <v>53</v>
      </c>
      <c r="Q23" t="s">
        <v>53</v>
      </c>
      <c r="R23" t="s">
        <v>53</v>
      </c>
      <c r="T23" t="s">
        <v>53</v>
      </c>
      <c r="U23" t="s">
        <v>53</v>
      </c>
      <c r="V23" t="s">
        <v>53</v>
      </c>
      <c r="W23" t="s">
        <v>53</v>
      </c>
      <c r="Y23" t="s">
        <v>53</v>
      </c>
      <c r="Z23" t="s">
        <v>53</v>
      </c>
      <c r="AA23" t="s">
        <v>43</v>
      </c>
      <c r="AB23" cm="1">
        <f t="array" ref="AB23">SUM(IF("X" = F23:AA23, 1, 0))</f>
        <v>14</v>
      </c>
      <c r="AC23" cm="1">
        <f t="array" ref="AC23">SUM(IF("?" = F23:AA23, 1, 0)) + AB23</f>
        <v>16</v>
      </c>
      <c r="AF23" t="b">
        <f t="shared" si="0"/>
        <v>1</v>
      </c>
      <c r="AG23" t="b">
        <f t="shared" si="0"/>
        <v>1</v>
      </c>
    </row>
    <row r="24" spans="1:33" x14ac:dyDescent="0.2">
      <c r="A24" t="s">
        <v>23</v>
      </c>
      <c r="B24">
        <v>12</v>
      </c>
      <c r="C24">
        <v>14</v>
      </c>
      <c r="F24" t="s">
        <v>53</v>
      </c>
      <c r="G24" t="s">
        <v>53</v>
      </c>
      <c r="I24" t="s">
        <v>53</v>
      </c>
      <c r="J24" t="s">
        <v>43</v>
      </c>
      <c r="N24" t="s">
        <v>53</v>
      </c>
      <c r="P24" t="s">
        <v>53</v>
      </c>
      <c r="Q24" t="s">
        <v>53</v>
      </c>
      <c r="R24" t="s">
        <v>53</v>
      </c>
      <c r="T24" t="s">
        <v>53</v>
      </c>
      <c r="U24" t="s">
        <v>53</v>
      </c>
      <c r="V24" t="s">
        <v>53</v>
      </c>
      <c r="W24" t="s">
        <v>53</v>
      </c>
      <c r="Y24" t="s">
        <v>53</v>
      </c>
      <c r="AA24" t="s">
        <v>43</v>
      </c>
      <c r="AB24" cm="1">
        <f t="array" ref="AB24">SUM(IF("X" = F24:AA24, 1, 0))</f>
        <v>12</v>
      </c>
      <c r="AC24" cm="1">
        <f t="array" ref="AC24">SUM(IF("?" = F24:AA24, 1, 0)) + AB24</f>
        <v>14</v>
      </c>
      <c r="AF24" t="b">
        <f t="shared" si="0"/>
        <v>1</v>
      </c>
      <c r="AG24" t="b">
        <f t="shared" si="0"/>
        <v>1</v>
      </c>
    </row>
    <row r="25" spans="1:33" x14ac:dyDescent="0.2">
      <c r="A25" t="s">
        <v>24</v>
      </c>
      <c r="B25">
        <v>16</v>
      </c>
      <c r="C25">
        <v>18</v>
      </c>
      <c r="F25" t="s">
        <v>53</v>
      </c>
      <c r="G25" t="s">
        <v>53</v>
      </c>
      <c r="H25" t="s">
        <v>53</v>
      </c>
      <c r="I25" t="s">
        <v>53</v>
      </c>
      <c r="J25" t="s">
        <v>53</v>
      </c>
      <c r="K25" t="s">
        <v>53</v>
      </c>
      <c r="M25" t="s">
        <v>53</v>
      </c>
      <c r="N25" t="s">
        <v>53</v>
      </c>
      <c r="O25" t="s">
        <v>53</v>
      </c>
      <c r="P25" t="s">
        <v>53</v>
      </c>
      <c r="R25" t="s">
        <v>53</v>
      </c>
      <c r="S25" t="s">
        <v>43</v>
      </c>
      <c r="T25" t="s">
        <v>53</v>
      </c>
      <c r="U25" t="s">
        <v>53</v>
      </c>
      <c r="V25" t="s">
        <v>53</v>
      </c>
      <c r="W25" t="s">
        <v>53</v>
      </c>
      <c r="Y25" t="s">
        <v>53</v>
      </c>
      <c r="AA25" t="s">
        <v>43</v>
      </c>
      <c r="AB25" cm="1">
        <f t="array" ref="AB25">SUM(IF("X" = F25:AA25, 1, 0))</f>
        <v>16</v>
      </c>
      <c r="AC25" cm="1">
        <f t="array" ref="AC25">SUM(IF("?" = F25:AA25, 1, 0)) + AB25</f>
        <v>18</v>
      </c>
      <c r="AF25" t="b">
        <f t="shared" si="0"/>
        <v>1</v>
      </c>
      <c r="AG25" t="b">
        <f t="shared" si="0"/>
        <v>1</v>
      </c>
    </row>
    <row r="26" spans="1:33" x14ac:dyDescent="0.2">
      <c r="A26" t="s">
        <v>25</v>
      </c>
      <c r="B26">
        <v>15</v>
      </c>
      <c r="C26">
        <v>16</v>
      </c>
      <c r="F26" t="s">
        <v>53</v>
      </c>
      <c r="G26" t="s">
        <v>53</v>
      </c>
      <c r="H26" t="s">
        <v>53</v>
      </c>
      <c r="J26" t="s">
        <v>53</v>
      </c>
      <c r="K26" t="s">
        <v>53</v>
      </c>
      <c r="M26" t="s">
        <v>53</v>
      </c>
      <c r="N26" t="s">
        <v>53</v>
      </c>
      <c r="O26" t="s">
        <v>53</v>
      </c>
      <c r="P26" t="s">
        <v>53</v>
      </c>
      <c r="Q26" t="s">
        <v>53</v>
      </c>
      <c r="R26" t="s">
        <v>53</v>
      </c>
      <c r="S26" t="s">
        <v>43</v>
      </c>
      <c r="T26" t="s">
        <v>53</v>
      </c>
      <c r="U26" t="s">
        <v>53</v>
      </c>
      <c r="V26" t="s">
        <v>53</v>
      </c>
      <c r="AA26" t="s">
        <v>53</v>
      </c>
      <c r="AB26" cm="1">
        <f t="array" ref="AB26">SUM(IF("X" = F26:AA26, 1, 0))</f>
        <v>15</v>
      </c>
      <c r="AC26" cm="1">
        <f t="array" ref="AC26">SUM(IF("?" = F26:AA26, 1, 0)) + AB26</f>
        <v>16</v>
      </c>
      <c r="AF26" t="b">
        <f t="shared" si="0"/>
        <v>1</v>
      </c>
      <c r="AG26" t="b">
        <f t="shared" si="0"/>
        <v>1</v>
      </c>
    </row>
    <row r="27" spans="1:33" x14ac:dyDescent="0.2">
      <c r="A27" t="s">
        <v>26</v>
      </c>
      <c r="B27">
        <v>15</v>
      </c>
      <c r="C27">
        <v>16</v>
      </c>
      <c r="F27" t="s">
        <v>53</v>
      </c>
      <c r="G27" t="s">
        <v>53</v>
      </c>
      <c r="K27" t="s">
        <v>53</v>
      </c>
      <c r="L27" t="s">
        <v>53</v>
      </c>
      <c r="M27" t="s">
        <v>53</v>
      </c>
      <c r="N27" t="s">
        <v>53</v>
      </c>
      <c r="O27" t="s">
        <v>53</v>
      </c>
      <c r="P27" t="s">
        <v>53</v>
      </c>
      <c r="Q27" t="s">
        <v>53</v>
      </c>
      <c r="R27" t="s">
        <v>53</v>
      </c>
      <c r="T27" t="s">
        <v>53</v>
      </c>
      <c r="U27" t="s">
        <v>53</v>
      </c>
      <c r="V27" t="s">
        <v>53</v>
      </c>
      <c r="W27" t="s">
        <v>53</v>
      </c>
      <c r="Z27" t="s">
        <v>53</v>
      </c>
      <c r="AA27" t="s">
        <v>43</v>
      </c>
      <c r="AB27" cm="1">
        <f t="array" ref="AB27">SUM(IF("X" = F27:AA27, 1, 0))</f>
        <v>15</v>
      </c>
      <c r="AC27" cm="1">
        <f t="array" ref="AC27">SUM(IF("?" = F27:AA27, 1, 0)) + AB27</f>
        <v>16</v>
      </c>
      <c r="AF27" t="b">
        <f t="shared" si="0"/>
        <v>1</v>
      </c>
      <c r="AG27" t="b">
        <f t="shared" si="0"/>
        <v>1</v>
      </c>
    </row>
    <row r="28" spans="1:33" x14ac:dyDescent="0.2">
      <c r="A28" t="s">
        <v>27</v>
      </c>
      <c r="B28">
        <v>12</v>
      </c>
      <c r="C28">
        <v>14</v>
      </c>
      <c r="F28" t="s">
        <v>53</v>
      </c>
      <c r="G28" t="s">
        <v>53</v>
      </c>
      <c r="H28" t="s">
        <v>53</v>
      </c>
      <c r="I28" t="s">
        <v>53</v>
      </c>
      <c r="J28" t="s">
        <v>53</v>
      </c>
      <c r="N28" t="s">
        <v>53</v>
      </c>
      <c r="O28" t="s">
        <v>53</v>
      </c>
      <c r="R28" t="s">
        <v>53</v>
      </c>
      <c r="S28" t="s">
        <v>43</v>
      </c>
      <c r="T28" t="s">
        <v>53</v>
      </c>
      <c r="U28" t="s">
        <v>43</v>
      </c>
      <c r="V28" t="s">
        <v>53</v>
      </c>
      <c r="W28" t="s">
        <v>53</v>
      </c>
      <c r="AA28" t="s">
        <v>53</v>
      </c>
      <c r="AB28" cm="1">
        <f t="array" ref="AB28">SUM(IF("X" = F28:AA28, 1, 0))</f>
        <v>12</v>
      </c>
      <c r="AC28" cm="1">
        <f t="array" ref="AC28">SUM(IF("?" = F28:AA28, 1, 0)) + AB28</f>
        <v>14</v>
      </c>
      <c r="AF28" t="b">
        <f t="shared" si="0"/>
        <v>1</v>
      </c>
      <c r="AG28" t="b">
        <f t="shared" si="0"/>
        <v>1</v>
      </c>
    </row>
    <row r="29" spans="1:33" x14ac:dyDescent="0.2">
      <c r="A29" t="s">
        <v>28</v>
      </c>
      <c r="B29">
        <v>12</v>
      </c>
      <c r="C29">
        <v>13</v>
      </c>
      <c r="F29" t="s">
        <v>53</v>
      </c>
      <c r="G29" t="s">
        <v>53</v>
      </c>
      <c r="H29" t="s">
        <v>53</v>
      </c>
      <c r="N29" t="s">
        <v>53</v>
      </c>
      <c r="O29" t="s">
        <v>53</v>
      </c>
      <c r="P29" t="s">
        <v>53</v>
      </c>
      <c r="R29" t="s">
        <v>53</v>
      </c>
      <c r="S29" t="s">
        <v>43</v>
      </c>
      <c r="T29" t="s">
        <v>53</v>
      </c>
      <c r="U29" t="s">
        <v>53</v>
      </c>
      <c r="V29" t="s">
        <v>53</v>
      </c>
      <c r="Y29" t="s">
        <v>53</v>
      </c>
      <c r="Z29" t="s">
        <v>53</v>
      </c>
      <c r="AB29" cm="1">
        <f t="array" ref="AB29">SUM(IF("X" = F29:AA29, 1, 0))</f>
        <v>12</v>
      </c>
      <c r="AC29" cm="1">
        <f t="array" ref="AC29">SUM(IF("?" = F29:AA29, 1, 0)) + AB29</f>
        <v>13</v>
      </c>
      <c r="AF29" t="b">
        <f t="shared" si="0"/>
        <v>1</v>
      </c>
      <c r="AG29" t="b">
        <f t="shared" si="0"/>
        <v>1</v>
      </c>
    </row>
    <row r="30" spans="1:33" x14ac:dyDescent="0.2">
      <c r="A30" t="s">
        <v>29</v>
      </c>
      <c r="B30">
        <v>19</v>
      </c>
      <c r="C30">
        <v>21</v>
      </c>
      <c r="F30" t="s">
        <v>53</v>
      </c>
      <c r="G30" t="s">
        <v>53</v>
      </c>
      <c r="H30" t="s">
        <v>53</v>
      </c>
      <c r="I30" t="s">
        <v>53</v>
      </c>
      <c r="J30" t="s">
        <v>53</v>
      </c>
      <c r="K30" t="s">
        <v>53</v>
      </c>
      <c r="L30" t="s">
        <v>53</v>
      </c>
      <c r="M30" t="s">
        <v>53</v>
      </c>
      <c r="N30" t="s">
        <v>53</v>
      </c>
      <c r="O30" t="s">
        <v>53</v>
      </c>
      <c r="P30" t="s">
        <v>53</v>
      </c>
      <c r="Q30" t="s">
        <v>53</v>
      </c>
      <c r="R30" t="s">
        <v>53</v>
      </c>
      <c r="S30" t="s">
        <v>43</v>
      </c>
      <c r="T30" t="s">
        <v>53</v>
      </c>
      <c r="U30" t="s">
        <v>53</v>
      </c>
      <c r="V30" t="s">
        <v>53</v>
      </c>
      <c r="W30" t="s">
        <v>53</v>
      </c>
      <c r="Y30" t="s">
        <v>53</v>
      </c>
      <c r="Z30" t="s">
        <v>53</v>
      </c>
      <c r="AA30" t="s">
        <v>43</v>
      </c>
      <c r="AB30" cm="1">
        <f t="array" ref="AB30">SUM(IF("X" = F30:AA30, 1, 0))</f>
        <v>19</v>
      </c>
      <c r="AC30" cm="1">
        <f t="array" ref="AC30">SUM(IF("?" = F30:AA30, 1, 0)) + AB30</f>
        <v>21</v>
      </c>
      <c r="AF30" t="b">
        <f t="shared" si="0"/>
        <v>1</v>
      </c>
      <c r="AG30" t="b">
        <f t="shared" si="0"/>
        <v>1</v>
      </c>
    </row>
    <row r="31" spans="1:33" x14ac:dyDescent="0.2">
      <c r="A31" t="s">
        <v>30</v>
      </c>
      <c r="B31">
        <v>13</v>
      </c>
      <c r="C31">
        <v>15</v>
      </c>
      <c r="F31" t="s">
        <v>53</v>
      </c>
      <c r="G31" t="s">
        <v>53</v>
      </c>
      <c r="J31" t="s">
        <v>53</v>
      </c>
      <c r="N31" t="s">
        <v>53</v>
      </c>
      <c r="O31" t="s">
        <v>43</v>
      </c>
      <c r="P31" t="s">
        <v>53</v>
      </c>
      <c r="Q31" t="s">
        <v>53</v>
      </c>
      <c r="R31" t="s">
        <v>53</v>
      </c>
      <c r="S31" t="s">
        <v>43</v>
      </c>
      <c r="T31" t="s">
        <v>53</v>
      </c>
      <c r="U31" t="s">
        <v>53</v>
      </c>
      <c r="W31" t="s">
        <v>53</v>
      </c>
      <c r="Y31" t="s">
        <v>53</v>
      </c>
      <c r="Z31" t="s">
        <v>53</v>
      </c>
      <c r="AA31" t="s">
        <v>53</v>
      </c>
      <c r="AB31" cm="1">
        <f t="array" ref="AB31">SUM(IF("X" = F31:AA31, 1, 0))</f>
        <v>13</v>
      </c>
      <c r="AC31" cm="1">
        <f t="array" ref="AC31">SUM(IF("?" = F31:AA31, 1, 0)) + AB31</f>
        <v>15</v>
      </c>
      <c r="AF31" t="b">
        <f t="shared" si="0"/>
        <v>1</v>
      </c>
      <c r="AG31" t="b">
        <f t="shared" si="0"/>
        <v>1</v>
      </c>
    </row>
    <row r="32" spans="1:33" x14ac:dyDescent="0.2">
      <c r="A32" t="s">
        <v>31</v>
      </c>
      <c r="B32">
        <v>12</v>
      </c>
      <c r="C32">
        <v>14</v>
      </c>
      <c r="F32" t="s">
        <v>53</v>
      </c>
      <c r="G32" t="s">
        <v>53</v>
      </c>
      <c r="J32" t="s">
        <v>53</v>
      </c>
      <c r="N32" t="s">
        <v>53</v>
      </c>
      <c r="O32" t="s">
        <v>43</v>
      </c>
      <c r="P32" t="s">
        <v>53</v>
      </c>
      <c r="Q32" t="s">
        <v>53</v>
      </c>
      <c r="R32" t="s">
        <v>53</v>
      </c>
      <c r="S32" t="s">
        <v>43</v>
      </c>
      <c r="T32" t="s">
        <v>53</v>
      </c>
      <c r="U32" t="s">
        <v>53</v>
      </c>
      <c r="W32" t="s">
        <v>53</v>
      </c>
      <c r="Z32" t="s">
        <v>53</v>
      </c>
      <c r="AA32" t="s">
        <v>53</v>
      </c>
      <c r="AB32" cm="1">
        <f t="array" ref="AB32">SUM(IF("X" = F32:AA32, 1, 0))</f>
        <v>12</v>
      </c>
      <c r="AC32" cm="1">
        <f t="array" ref="AC32">SUM(IF("?" = F32:AA32, 1, 0)) + AB32</f>
        <v>14</v>
      </c>
      <c r="AF32" t="b">
        <f t="shared" si="0"/>
        <v>1</v>
      </c>
      <c r="AG32" t="b">
        <f t="shared" si="0"/>
        <v>1</v>
      </c>
    </row>
    <row r="33" spans="1:33" x14ac:dyDescent="0.2">
      <c r="A33" t="s">
        <v>32</v>
      </c>
      <c r="B33">
        <v>12</v>
      </c>
      <c r="C33">
        <v>14</v>
      </c>
      <c r="F33" t="s">
        <v>53</v>
      </c>
      <c r="G33" t="s">
        <v>53</v>
      </c>
      <c r="I33" t="s">
        <v>53</v>
      </c>
      <c r="M33" t="s">
        <v>53</v>
      </c>
      <c r="N33" t="s">
        <v>53</v>
      </c>
      <c r="O33" t="s">
        <v>43</v>
      </c>
      <c r="P33" t="s">
        <v>53</v>
      </c>
      <c r="R33" t="s">
        <v>53</v>
      </c>
      <c r="S33" t="s">
        <v>43</v>
      </c>
      <c r="T33" t="s">
        <v>53</v>
      </c>
      <c r="U33" t="s">
        <v>53</v>
      </c>
      <c r="W33" t="s">
        <v>53</v>
      </c>
      <c r="Z33" t="s">
        <v>53</v>
      </c>
      <c r="AA33" t="s">
        <v>53</v>
      </c>
      <c r="AB33" cm="1">
        <f t="array" ref="AB33">SUM(IF("X" = F33:AA33, 1, 0))</f>
        <v>12</v>
      </c>
      <c r="AC33" cm="1">
        <f t="array" ref="AC33">SUM(IF("?" = F33:AA33, 1, 0)) + AB33</f>
        <v>14</v>
      </c>
      <c r="AF33" t="b">
        <f t="shared" si="0"/>
        <v>1</v>
      </c>
      <c r="AG33" t="b">
        <f t="shared" si="0"/>
        <v>1</v>
      </c>
    </row>
    <row r="34" spans="1:33" x14ac:dyDescent="0.2">
      <c r="A34" t="s">
        <v>33</v>
      </c>
      <c r="B34">
        <v>15</v>
      </c>
      <c r="C34">
        <v>16</v>
      </c>
      <c r="F34" t="s">
        <v>53</v>
      </c>
      <c r="G34" t="s">
        <v>53</v>
      </c>
      <c r="I34" t="s">
        <v>53</v>
      </c>
      <c r="L34" t="s">
        <v>53</v>
      </c>
      <c r="M34" t="s">
        <v>53</v>
      </c>
      <c r="O34" t="s">
        <v>43</v>
      </c>
      <c r="P34" t="s">
        <v>53</v>
      </c>
      <c r="Q34" t="s">
        <v>53</v>
      </c>
      <c r="R34" t="s">
        <v>53</v>
      </c>
      <c r="T34" t="s">
        <v>53</v>
      </c>
      <c r="U34" t="s">
        <v>53</v>
      </c>
      <c r="V34" t="s">
        <v>53</v>
      </c>
      <c r="W34" t="s">
        <v>53</v>
      </c>
      <c r="X34" t="s">
        <v>53</v>
      </c>
      <c r="Y34" t="s">
        <v>53</v>
      </c>
      <c r="Z34" t="s">
        <v>53</v>
      </c>
      <c r="AB34" cm="1">
        <f t="array" ref="AB34">SUM(IF("X" = F34:AA34, 1, 0))</f>
        <v>15</v>
      </c>
      <c r="AC34" cm="1">
        <f t="array" ref="AC34">SUM(IF("?" = F34:AA34, 1, 0)) + AB34</f>
        <v>16</v>
      </c>
      <c r="AF34" t="b">
        <f t="shared" si="0"/>
        <v>1</v>
      </c>
      <c r="AG34" t="b">
        <f t="shared" si="0"/>
        <v>1</v>
      </c>
    </row>
    <row r="35" spans="1:33" x14ac:dyDescent="0.2">
      <c r="B35">
        <f>AVERAGE(B2:B34)</f>
        <v>13.939393939393939</v>
      </c>
      <c r="C35">
        <f>AVERAGE(C2:C34)</f>
        <v>15.606060606060606</v>
      </c>
    </row>
    <row r="37" spans="1:33" x14ac:dyDescent="0.2">
      <c r="A37" t="s">
        <v>34</v>
      </c>
      <c r="B37">
        <v>21</v>
      </c>
      <c r="C37">
        <v>21</v>
      </c>
      <c r="F37" t="s">
        <v>53</v>
      </c>
      <c r="G37" t="s">
        <v>53</v>
      </c>
      <c r="H37" t="s">
        <v>53</v>
      </c>
      <c r="I37" t="s">
        <v>53</v>
      </c>
      <c r="J37" t="s">
        <v>53</v>
      </c>
      <c r="K37" t="s">
        <v>53</v>
      </c>
      <c r="L37" t="s">
        <v>53</v>
      </c>
      <c r="M37" t="s">
        <v>53</v>
      </c>
      <c r="N37" t="s">
        <v>53</v>
      </c>
      <c r="O37" t="s">
        <v>53</v>
      </c>
      <c r="P37" t="s">
        <v>53</v>
      </c>
      <c r="Q37" t="s">
        <v>53</v>
      </c>
      <c r="R37" t="s">
        <v>53</v>
      </c>
      <c r="S37" t="s">
        <v>53</v>
      </c>
      <c r="U37" t="s">
        <v>53</v>
      </c>
      <c r="V37" t="s">
        <v>53</v>
      </c>
      <c r="W37" t="s">
        <v>53</v>
      </c>
      <c r="X37" t="s">
        <v>53</v>
      </c>
      <c r="Y37" t="s">
        <v>53</v>
      </c>
      <c r="Z37" t="s">
        <v>53</v>
      </c>
      <c r="AA37" t="s">
        <v>53</v>
      </c>
      <c r="AB37" cm="1">
        <f t="array" ref="AB37">SUM(IF("X" = F37:AA37, 1, 0))</f>
        <v>21</v>
      </c>
      <c r="AC37" cm="1">
        <f t="array" ref="AC37">SUM(IF("?" = F37:AA37, 1, 0)) + AB37</f>
        <v>21</v>
      </c>
      <c r="AF37" t="b">
        <f t="shared" ref="AF37:AG57" si="1">AB37=B37</f>
        <v>1</v>
      </c>
      <c r="AG37" t="b">
        <f t="shared" si="1"/>
        <v>1</v>
      </c>
    </row>
    <row r="38" spans="1:33" x14ac:dyDescent="0.2">
      <c r="A38" t="s">
        <v>35</v>
      </c>
      <c r="B38">
        <v>19</v>
      </c>
      <c r="C38">
        <v>20</v>
      </c>
      <c r="F38" t="s">
        <v>53</v>
      </c>
      <c r="G38" t="s">
        <v>53</v>
      </c>
      <c r="I38" t="s">
        <v>53</v>
      </c>
      <c r="J38" t="s">
        <v>53</v>
      </c>
      <c r="K38" t="s">
        <v>53</v>
      </c>
      <c r="M38" t="s">
        <v>53</v>
      </c>
      <c r="N38" t="s">
        <v>53</v>
      </c>
      <c r="O38" t="s">
        <v>53</v>
      </c>
      <c r="P38" t="s">
        <v>53</v>
      </c>
      <c r="Q38" t="s">
        <v>53</v>
      </c>
      <c r="R38" t="s">
        <v>53</v>
      </c>
      <c r="S38" t="s">
        <v>53</v>
      </c>
      <c r="T38" t="s">
        <v>53</v>
      </c>
      <c r="U38" t="s">
        <v>53</v>
      </c>
      <c r="V38" t="s">
        <v>53</v>
      </c>
      <c r="W38" t="s">
        <v>53</v>
      </c>
      <c r="X38" t="s">
        <v>53</v>
      </c>
      <c r="Y38" t="s">
        <v>53</v>
      </c>
      <c r="Z38" t="s">
        <v>53</v>
      </c>
      <c r="AA38" t="s">
        <v>53</v>
      </c>
      <c r="AB38" cm="1">
        <f t="array" ref="AB38">SUM(IF("X" = F38:AA38, 1, 0))</f>
        <v>20</v>
      </c>
      <c r="AC38" cm="1">
        <f t="array" ref="AC38">SUM(IF("?" = F38:AA38, 1, 0)) + AB38</f>
        <v>20</v>
      </c>
      <c r="AF38" t="b">
        <f t="shared" si="1"/>
        <v>0</v>
      </c>
      <c r="AG38" t="b">
        <f t="shared" si="1"/>
        <v>1</v>
      </c>
    </row>
    <row r="39" spans="1:33" x14ac:dyDescent="0.2">
      <c r="A39" t="s">
        <v>36</v>
      </c>
      <c r="B39">
        <v>18</v>
      </c>
      <c r="C39">
        <v>18</v>
      </c>
      <c r="F39" t="s">
        <v>53</v>
      </c>
      <c r="G39" t="s">
        <v>53</v>
      </c>
      <c r="H39" t="s">
        <v>53</v>
      </c>
      <c r="I39" t="s">
        <v>53</v>
      </c>
      <c r="J39" t="s">
        <v>53</v>
      </c>
      <c r="K39" t="s">
        <v>53</v>
      </c>
      <c r="L39" t="s">
        <v>53</v>
      </c>
      <c r="M39" t="s">
        <v>53</v>
      </c>
      <c r="O39" t="s">
        <v>53</v>
      </c>
      <c r="P39" t="s">
        <v>53</v>
      </c>
      <c r="Q39" t="s">
        <v>53</v>
      </c>
      <c r="T39" t="s">
        <v>53</v>
      </c>
      <c r="U39" t="s">
        <v>53</v>
      </c>
      <c r="V39" t="s">
        <v>53</v>
      </c>
      <c r="W39" t="s">
        <v>53</v>
      </c>
      <c r="Y39" t="s">
        <v>53</v>
      </c>
      <c r="Z39" t="s">
        <v>53</v>
      </c>
      <c r="AA39" t="s">
        <v>53</v>
      </c>
      <c r="AB39" cm="1">
        <f t="array" ref="AB39">SUM(IF("X" = F39:AA39, 1, 0))</f>
        <v>18</v>
      </c>
      <c r="AC39" cm="1">
        <f t="array" ref="AC39">SUM(IF("?" = F39:AA39, 1, 0)) + AB39</f>
        <v>18</v>
      </c>
      <c r="AF39" t="b">
        <f t="shared" si="1"/>
        <v>1</v>
      </c>
      <c r="AG39" t="b">
        <f t="shared" si="1"/>
        <v>1</v>
      </c>
    </row>
    <row r="40" spans="1:33" x14ac:dyDescent="0.2">
      <c r="A40" t="s">
        <v>37</v>
      </c>
      <c r="B40">
        <v>17</v>
      </c>
      <c r="C40">
        <v>17</v>
      </c>
      <c r="F40" t="s">
        <v>53</v>
      </c>
      <c r="G40" t="s">
        <v>53</v>
      </c>
      <c r="H40" t="s">
        <v>53</v>
      </c>
      <c r="I40" t="s">
        <v>53</v>
      </c>
      <c r="J40" t="s">
        <v>53</v>
      </c>
      <c r="K40" t="s">
        <v>53</v>
      </c>
      <c r="O40" t="s">
        <v>53</v>
      </c>
      <c r="P40" t="s">
        <v>53</v>
      </c>
      <c r="Q40" t="s">
        <v>53</v>
      </c>
      <c r="R40" t="s">
        <v>53</v>
      </c>
      <c r="S40" t="s">
        <v>53</v>
      </c>
      <c r="V40" t="s">
        <v>53</v>
      </c>
      <c r="W40" t="s">
        <v>53</v>
      </c>
      <c r="X40" t="s">
        <v>53</v>
      </c>
      <c r="Y40" t="s">
        <v>53</v>
      </c>
      <c r="Z40" t="s">
        <v>53</v>
      </c>
      <c r="AA40" t="s">
        <v>53</v>
      </c>
      <c r="AB40" cm="1">
        <f t="array" ref="AB40">SUM(IF("X" = F40:AA40, 1, 0))</f>
        <v>17</v>
      </c>
      <c r="AC40" cm="1">
        <f t="array" ref="AC40">SUM(IF("?" = F40:AA40, 1, 0)) + AB40</f>
        <v>17</v>
      </c>
      <c r="AF40" t="b">
        <f t="shared" si="1"/>
        <v>1</v>
      </c>
      <c r="AG40" t="b">
        <f t="shared" si="1"/>
        <v>1</v>
      </c>
    </row>
    <row r="41" spans="1:33" x14ac:dyDescent="0.2">
      <c r="A41" t="s">
        <v>38</v>
      </c>
      <c r="B41">
        <v>17</v>
      </c>
      <c r="C41">
        <v>18</v>
      </c>
      <c r="F41" t="s">
        <v>53</v>
      </c>
      <c r="G41" t="s">
        <v>53</v>
      </c>
      <c r="H41" t="s">
        <v>53</v>
      </c>
      <c r="I41" t="s">
        <v>53</v>
      </c>
      <c r="J41" t="s">
        <v>53</v>
      </c>
      <c r="K41" t="s">
        <v>53</v>
      </c>
      <c r="L41" t="s">
        <v>53</v>
      </c>
      <c r="M41" t="s">
        <v>53</v>
      </c>
      <c r="N41" t="s">
        <v>53</v>
      </c>
      <c r="O41" t="s">
        <v>53</v>
      </c>
      <c r="P41" t="s">
        <v>53</v>
      </c>
      <c r="Q41" t="s">
        <v>53</v>
      </c>
      <c r="R41" t="s">
        <v>53</v>
      </c>
      <c r="S41" t="s">
        <v>53</v>
      </c>
      <c r="W41" t="s">
        <v>53</v>
      </c>
      <c r="Y41" t="s">
        <v>53</v>
      </c>
      <c r="Z41" t="s">
        <v>53</v>
      </c>
      <c r="AA41" t="s">
        <v>53</v>
      </c>
      <c r="AB41" cm="1">
        <f t="array" ref="AB41">SUM(IF("X" = F41:AA41, 1, 0))</f>
        <v>18</v>
      </c>
      <c r="AC41" cm="1">
        <f t="array" ref="AC41">SUM(IF("?" = F41:AA41, 1, 0)) + AB41</f>
        <v>18</v>
      </c>
      <c r="AF41" t="b">
        <f t="shared" si="1"/>
        <v>0</v>
      </c>
      <c r="AG41" t="b">
        <f t="shared" si="1"/>
        <v>1</v>
      </c>
    </row>
    <row r="42" spans="1:33" x14ac:dyDescent="0.2">
      <c r="A42" t="s">
        <v>39</v>
      </c>
      <c r="B42">
        <v>15</v>
      </c>
      <c r="C42">
        <v>15</v>
      </c>
      <c r="F42" t="s">
        <v>53</v>
      </c>
      <c r="G42" t="s">
        <v>53</v>
      </c>
      <c r="K42" t="s">
        <v>53</v>
      </c>
      <c r="L42" t="s">
        <v>53</v>
      </c>
      <c r="M42" t="s">
        <v>53</v>
      </c>
      <c r="N42" t="s">
        <v>53</v>
      </c>
      <c r="O42" t="s">
        <v>53</v>
      </c>
      <c r="P42" t="s">
        <v>53</v>
      </c>
      <c r="Q42" t="s">
        <v>53</v>
      </c>
      <c r="R42" t="s">
        <v>53</v>
      </c>
      <c r="V42" t="s">
        <v>53</v>
      </c>
      <c r="W42" t="s">
        <v>53</v>
      </c>
      <c r="Y42" t="s">
        <v>53</v>
      </c>
      <c r="Z42" t="s">
        <v>53</v>
      </c>
      <c r="AA42" t="s">
        <v>53</v>
      </c>
      <c r="AB42" cm="1">
        <f t="array" ref="AB42">SUM(IF("X" = F42:AA42, 1, 0))</f>
        <v>15</v>
      </c>
      <c r="AC42" cm="1">
        <f t="array" ref="AC42">SUM(IF("?" = F42:AA42, 1, 0)) + AB42</f>
        <v>15</v>
      </c>
      <c r="AF42" t="b">
        <f t="shared" si="1"/>
        <v>1</v>
      </c>
      <c r="AG42" t="b">
        <f t="shared" si="1"/>
        <v>1</v>
      </c>
    </row>
    <row r="43" spans="1:33" x14ac:dyDescent="0.2">
      <c r="A43" t="s">
        <v>40</v>
      </c>
      <c r="B43">
        <v>14</v>
      </c>
      <c r="C43">
        <v>16</v>
      </c>
      <c r="F43" t="s">
        <v>53</v>
      </c>
      <c r="G43" t="s">
        <v>53</v>
      </c>
      <c r="J43" t="s">
        <v>53</v>
      </c>
      <c r="N43" t="s">
        <v>53</v>
      </c>
      <c r="O43" t="s">
        <v>53</v>
      </c>
      <c r="P43" t="s">
        <v>53</v>
      </c>
      <c r="Q43" t="s">
        <v>53</v>
      </c>
      <c r="R43" t="s">
        <v>53</v>
      </c>
      <c r="S43" t="s">
        <v>53</v>
      </c>
      <c r="U43" t="s">
        <v>53</v>
      </c>
      <c r="V43" t="s">
        <v>53</v>
      </c>
      <c r="W43" t="s">
        <v>53</v>
      </c>
      <c r="X43" t="s">
        <v>53</v>
      </c>
      <c r="Y43" t="s">
        <v>53</v>
      </c>
      <c r="Z43" t="s">
        <v>53</v>
      </c>
      <c r="AA43" t="s">
        <v>53</v>
      </c>
      <c r="AB43" cm="1">
        <f t="array" ref="AB43">SUM(IF("X" = F43:AA43, 1, 0))</f>
        <v>16</v>
      </c>
      <c r="AC43" cm="1">
        <f t="array" ref="AC43">SUM(IF("?" = F43:AA43, 1, 0)) + AB43</f>
        <v>16</v>
      </c>
      <c r="AF43" t="b">
        <f t="shared" si="1"/>
        <v>0</v>
      </c>
      <c r="AG43" t="b">
        <f t="shared" si="1"/>
        <v>1</v>
      </c>
    </row>
    <row r="44" spans="1:33" x14ac:dyDescent="0.2">
      <c r="A44" t="s">
        <v>41</v>
      </c>
      <c r="B44">
        <v>13</v>
      </c>
      <c r="C44">
        <v>13</v>
      </c>
      <c r="F44" t="s">
        <v>53</v>
      </c>
      <c r="G44" t="s">
        <v>53</v>
      </c>
      <c r="J44" t="s">
        <v>53</v>
      </c>
      <c r="K44" t="s">
        <v>53</v>
      </c>
      <c r="N44" t="s">
        <v>53</v>
      </c>
      <c r="O44" t="s">
        <v>53</v>
      </c>
      <c r="P44" t="s">
        <v>53</v>
      </c>
      <c r="Q44" t="s">
        <v>53</v>
      </c>
      <c r="R44" t="s">
        <v>53</v>
      </c>
      <c r="S44" t="s">
        <v>53</v>
      </c>
      <c r="T44" t="s">
        <v>53</v>
      </c>
      <c r="Y44" t="s">
        <v>53</v>
      </c>
      <c r="AA44" t="s">
        <v>53</v>
      </c>
      <c r="AB44" cm="1">
        <f t="array" ref="AB44">SUM(IF("X" = F44:AA44, 1, 0))</f>
        <v>13</v>
      </c>
      <c r="AC44" cm="1">
        <f t="array" ref="AC44">SUM(IF("?" = F44:AA44, 1, 0)) + AB44</f>
        <v>13</v>
      </c>
      <c r="AF44" t="b">
        <f t="shared" si="1"/>
        <v>1</v>
      </c>
      <c r="AG44" t="b">
        <f t="shared" si="1"/>
        <v>1</v>
      </c>
    </row>
    <row r="45" spans="1:33" x14ac:dyDescent="0.2">
      <c r="A45" t="s">
        <v>42</v>
      </c>
      <c r="B45">
        <v>12</v>
      </c>
      <c r="C45">
        <v>12</v>
      </c>
      <c r="D45" t="s">
        <v>43</v>
      </c>
      <c r="F45" t="s">
        <v>53</v>
      </c>
      <c r="J45" t="s">
        <v>53</v>
      </c>
      <c r="K45" t="s">
        <v>53</v>
      </c>
      <c r="L45" t="s">
        <v>53</v>
      </c>
      <c r="M45" t="s">
        <v>53</v>
      </c>
      <c r="P45" t="s">
        <v>53</v>
      </c>
      <c r="R45" t="s">
        <v>53</v>
      </c>
      <c r="U45" t="s">
        <v>53</v>
      </c>
      <c r="V45" t="s">
        <v>53</v>
      </c>
      <c r="W45" t="s">
        <v>53</v>
      </c>
      <c r="Z45" t="s">
        <v>53</v>
      </c>
      <c r="AA45" t="s">
        <v>53</v>
      </c>
      <c r="AB45" cm="1">
        <f t="array" ref="AB45">SUM(IF("X" = F45:AA45, 1, 0))</f>
        <v>12</v>
      </c>
      <c r="AC45" cm="1">
        <f t="array" ref="AC45">SUM(IF("?" = F45:AA45, 1, 0)) + AB45</f>
        <v>12</v>
      </c>
      <c r="AF45" t="b">
        <f t="shared" si="1"/>
        <v>1</v>
      </c>
      <c r="AG45" t="b">
        <f t="shared" si="1"/>
        <v>1</v>
      </c>
    </row>
    <row r="46" spans="1:33" x14ac:dyDescent="0.2">
      <c r="A46" t="s">
        <v>44</v>
      </c>
      <c r="B46">
        <v>19</v>
      </c>
      <c r="C46">
        <v>19</v>
      </c>
      <c r="F46" t="s">
        <v>53</v>
      </c>
      <c r="H46" t="s">
        <v>53</v>
      </c>
      <c r="I46" t="s">
        <v>53</v>
      </c>
      <c r="J46" t="s">
        <v>53</v>
      </c>
      <c r="K46" t="s">
        <v>53</v>
      </c>
      <c r="L46" t="s">
        <v>53</v>
      </c>
      <c r="M46" t="s">
        <v>53</v>
      </c>
      <c r="N46" t="s">
        <v>53</v>
      </c>
      <c r="O46" t="s">
        <v>53</v>
      </c>
      <c r="P46" t="s">
        <v>53</v>
      </c>
      <c r="R46" t="s">
        <v>53</v>
      </c>
      <c r="S46" t="s">
        <v>53</v>
      </c>
      <c r="T46" t="s">
        <v>53</v>
      </c>
      <c r="V46" t="s">
        <v>53</v>
      </c>
      <c r="W46" t="s">
        <v>53</v>
      </c>
      <c r="X46" t="s">
        <v>53</v>
      </c>
      <c r="Y46" t="s">
        <v>53</v>
      </c>
      <c r="Z46" t="s">
        <v>53</v>
      </c>
      <c r="AA46" t="s">
        <v>53</v>
      </c>
      <c r="AB46" cm="1">
        <f t="array" ref="AB46">SUM(IF("X" = F46:AA46, 1, 0))</f>
        <v>19</v>
      </c>
      <c r="AC46" cm="1">
        <f t="array" ref="AC46">SUM(IF("?" = F46:AA46, 1, 0)) + AB46</f>
        <v>19</v>
      </c>
      <c r="AF46" t="b">
        <f t="shared" si="1"/>
        <v>1</v>
      </c>
      <c r="AG46" t="b">
        <f t="shared" si="1"/>
        <v>1</v>
      </c>
    </row>
    <row r="47" spans="1:33" x14ac:dyDescent="0.2">
      <c r="A47" t="s">
        <v>45</v>
      </c>
      <c r="B47">
        <v>11</v>
      </c>
      <c r="C47">
        <v>11</v>
      </c>
      <c r="F47" t="s">
        <v>53</v>
      </c>
      <c r="H47" t="s">
        <v>53</v>
      </c>
      <c r="J47" t="s">
        <v>53</v>
      </c>
      <c r="K47" t="s">
        <v>53</v>
      </c>
      <c r="L47" t="s">
        <v>53</v>
      </c>
      <c r="M47" t="s">
        <v>53</v>
      </c>
      <c r="N47" t="s">
        <v>53</v>
      </c>
      <c r="O47" t="s">
        <v>53</v>
      </c>
      <c r="P47" t="s">
        <v>53</v>
      </c>
      <c r="R47" t="s">
        <v>53</v>
      </c>
      <c r="T47" t="s">
        <v>53</v>
      </c>
      <c r="AB47" cm="1">
        <f t="array" ref="AB47">SUM(IF("X" = F47:AA47, 1, 0))</f>
        <v>11</v>
      </c>
      <c r="AC47" cm="1">
        <f t="array" ref="AC47">SUM(IF("?" = F47:AA47, 1, 0)) + AB47</f>
        <v>11</v>
      </c>
      <c r="AF47" t="b">
        <f t="shared" si="1"/>
        <v>1</v>
      </c>
      <c r="AG47" t="b">
        <f t="shared" si="1"/>
        <v>1</v>
      </c>
    </row>
    <row r="48" spans="1:33" x14ac:dyDescent="0.2">
      <c r="A48" t="s">
        <v>46</v>
      </c>
      <c r="B48">
        <v>15</v>
      </c>
      <c r="C48">
        <v>15</v>
      </c>
      <c r="F48" t="s">
        <v>53</v>
      </c>
      <c r="H48" t="s">
        <v>53</v>
      </c>
      <c r="J48" t="s">
        <v>53</v>
      </c>
      <c r="K48" t="s">
        <v>53</v>
      </c>
      <c r="L48" t="s">
        <v>53</v>
      </c>
      <c r="M48" t="s">
        <v>53</v>
      </c>
      <c r="N48" t="s">
        <v>53</v>
      </c>
      <c r="O48" t="s">
        <v>53</v>
      </c>
      <c r="P48" t="s">
        <v>53</v>
      </c>
      <c r="Q48" t="s">
        <v>53</v>
      </c>
      <c r="R48" t="s">
        <v>53</v>
      </c>
      <c r="S48" t="s">
        <v>53</v>
      </c>
      <c r="T48" t="s">
        <v>53</v>
      </c>
      <c r="X48" t="s">
        <v>53</v>
      </c>
      <c r="AA48" t="s">
        <v>53</v>
      </c>
      <c r="AB48" cm="1">
        <f t="array" ref="AB48">SUM(IF("X" = F48:AA48, 1, 0))</f>
        <v>15</v>
      </c>
      <c r="AC48" cm="1">
        <f t="array" ref="AC48">SUM(IF("?" = F48:AA48, 1, 0)) + AB48</f>
        <v>15</v>
      </c>
      <c r="AF48" t="b">
        <f t="shared" si="1"/>
        <v>1</v>
      </c>
      <c r="AG48" t="b">
        <f t="shared" si="1"/>
        <v>1</v>
      </c>
    </row>
    <row r="49" spans="1:33" x14ac:dyDescent="0.2">
      <c r="A49" t="s">
        <v>47</v>
      </c>
      <c r="B49">
        <v>12</v>
      </c>
      <c r="C49">
        <v>12</v>
      </c>
      <c r="F49" t="s">
        <v>53</v>
      </c>
      <c r="G49" t="s">
        <v>53</v>
      </c>
      <c r="H49" t="s">
        <v>53</v>
      </c>
      <c r="I49" t="s">
        <v>53</v>
      </c>
      <c r="K49" t="s">
        <v>53</v>
      </c>
      <c r="L49" t="s">
        <v>53</v>
      </c>
      <c r="M49" t="s">
        <v>53</v>
      </c>
      <c r="P49" t="s">
        <v>53</v>
      </c>
      <c r="Q49" t="s">
        <v>53</v>
      </c>
      <c r="R49" t="s">
        <v>53</v>
      </c>
      <c r="S49" t="s">
        <v>53</v>
      </c>
      <c r="T49" t="s">
        <v>53</v>
      </c>
      <c r="AB49" cm="1">
        <f t="array" ref="AB49">SUM(IF("X" = F49:AA49, 1, 0))</f>
        <v>12</v>
      </c>
      <c r="AC49" cm="1">
        <f t="array" ref="AC49">SUM(IF("?" = F49:AA49, 1, 0)) + AB49</f>
        <v>12</v>
      </c>
      <c r="AF49" t="b">
        <f t="shared" si="1"/>
        <v>1</v>
      </c>
      <c r="AG49" t="b">
        <f t="shared" si="1"/>
        <v>1</v>
      </c>
    </row>
    <row r="50" spans="1:33" x14ac:dyDescent="0.2">
      <c r="A50" t="s">
        <v>48</v>
      </c>
      <c r="B50">
        <v>20</v>
      </c>
      <c r="C50">
        <v>20</v>
      </c>
      <c r="F50" t="s">
        <v>53</v>
      </c>
      <c r="G50" t="s">
        <v>53</v>
      </c>
      <c r="H50" t="s">
        <v>53</v>
      </c>
      <c r="J50" t="s">
        <v>53</v>
      </c>
      <c r="K50" t="s">
        <v>53</v>
      </c>
      <c r="L50" t="s">
        <v>53</v>
      </c>
      <c r="M50" t="s">
        <v>53</v>
      </c>
      <c r="N50" t="s">
        <v>53</v>
      </c>
      <c r="O50" t="s">
        <v>53</v>
      </c>
      <c r="P50" t="s">
        <v>53</v>
      </c>
      <c r="Q50" t="s">
        <v>53</v>
      </c>
      <c r="R50" t="s">
        <v>53</v>
      </c>
      <c r="T50" t="s">
        <v>53</v>
      </c>
      <c r="U50" t="s">
        <v>53</v>
      </c>
      <c r="V50" t="s">
        <v>53</v>
      </c>
      <c r="W50" t="s">
        <v>53</v>
      </c>
      <c r="X50" t="s">
        <v>53</v>
      </c>
      <c r="Y50" t="s">
        <v>53</v>
      </c>
      <c r="Z50" t="s">
        <v>53</v>
      </c>
      <c r="AA50" t="s">
        <v>53</v>
      </c>
      <c r="AB50" cm="1">
        <f t="array" ref="AB50">SUM(IF("X" = F50:AA50, 1, 0))</f>
        <v>20</v>
      </c>
      <c r="AC50" cm="1">
        <f t="array" ref="AC50">SUM(IF("?" = F50:AA50, 1, 0)) + AB50</f>
        <v>20</v>
      </c>
      <c r="AF50" t="b">
        <f t="shared" si="1"/>
        <v>1</v>
      </c>
      <c r="AG50" t="b">
        <f t="shared" si="1"/>
        <v>1</v>
      </c>
    </row>
    <row r="51" spans="1:33" x14ac:dyDescent="0.2">
      <c r="A51" t="s">
        <v>49</v>
      </c>
      <c r="B51">
        <v>9</v>
      </c>
      <c r="C51">
        <v>9</v>
      </c>
      <c r="P51" t="s">
        <v>53</v>
      </c>
      <c r="R51" t="s">
        <v>53</v>
      </c>
      <c r="U51" t="s">
        <v>53</v>
      </c>
      <c r="V51" t="s">
        <v>53</v>
      </c>
      <c r="W51" t="s">
        <v>53</v>
      </c>
      <c r="X51" t="s">
        <v>53</v>
      </c>
      <c r="Y51" t="s">
        <v>53</v>
      </c>
      <c r="Z51" t="s">
        <v>53</v>
      </c>
      <c r="AA51" t="s">
        <v>53</v>
      </c>
      <c r="AB51" cm="1">
        <f t="array" ref="AB51">SUM(IF("X" = F51:AA51, 1, 0))</f>
        <v>9</v>
      </c>
      <c r="AC51" cm="1">
        <f t="array" ref="AC51">SUM(IF("?" = F51:AA51, 1, 0)) + AB51</f>
        <v>9</v>
      </c>
      <c r="AF51" t="b">
        <f t="shared" si="1"/>
        <v>1</v>
      </c>
      <c r="AG51" t="b">
        <f t="shared" si="1"/>
        <v>1</v>
      </c>
    </row>
    <row r="52" spans="1:33" x14ac:dyDescent="0.2">
      <c r="A52" t="s">
        <v>50</v>
      </c>
      <c r="B52">
        <v>11</v>
      </c>
      <c r="C52">
        <v>11</v>
      </c>
      <c r="D52" t="s">
        <v>43</v>
      </c>
      <c r="F52" t="s">
        <v>53</v>
      </c>
      <c r="G52" t="s">
        <v>53</v>
      </c>
      <c r="H52" t="s">
        <v>53</v>
      </c>
      <c r="I52" t="s">
        <v>53</v>
      </c>
      <c r="O52" t="s">
        <v>53</v>
      </c>
      <c r="P52" t="s">
        <v>53</v>
      </c>
      <c r="Q52" t="s">
        <v>53</v>
      </c>
      <c r="R52" t="s">
        <v>53</v>
      </c>
      <c r="S52" t="s">
        <v>53</v>
      </c>
      <c r="U52" t="s">
        <v>53</v>
      </c>
      <c r="X52" t="s">
        <v>53</v>
      </c>
      <c r="AB52" cm="1">
        <f t="array" ref="AB52">SUM(IF("X" = F52:AA52, 1, 0))</f>
        <v>11</v>
      </c>
      <c r="AC52" cm="1">
        <f t="array" ref="AC52">SUM(IF("?" = F52:AA52, 1, 0)) + AB52</f>
        <v>11</v>
      </c>
      <c r="AF52" t="b">
        <f t="shared" si="1"/>
        <v>1</v>
      </c>
      <c r="AG52" t="b">
        <f t="shared" si="1"/>
        <v>1</v>
      </c>
    </row>
    <row r="53" spans="1:33" x14ac:dyDescent="0.2">
      <c r="A53" t="s">
        <v>51</v>
      </c>
      <c r="B53">
        <v>19</v>
      </c>
      <c r="C53">
        <v>19</v>
      </c>
      <c r="F53" t="s">
        <v>53</v>
      </c>
      <c r="G53" t="s">
        <v>53</v>
      </c>
      <c r="I53" t="s">
        <v>53</v>
      </c>
      <c r="J53" t="s">
        <v>53</v>
      </c>
      <c r="L53" t="s">
        <v>53</v>
      </c>
      <c r="M53" t="s">
        <v>53</v>
      </c>
      <c r="N53" t="s">
        <v>53</v>
      </c>
      <c r="O53" t="s">
        <v>53</v>
      </c>
      <c r="P53" t="s">
        <v>53</v>
      </c>
      <c r="Q53" t="s">
        <v>53</v>
      </c>
      <c r="R53" t="s">
        <v>53</v>
      </c>
      <c r="S53" t="s">
        <v>53</v>
      </c>
      <c r="T53" t="s">
        <v>53</v>
      </c>
      <c r="U53" t="s">
        <v>53</v>
      </c>
      <c r="V53" t="s">
        <v>53</v>
      </c>
      <c r="W53" t="s">
        <v>53</v>
      </c>
      <c r="Y53" t="s">
        <v>53</v>
      </c>
      <c r="Z53" t="s">
        <v>53</v>
      </c>
      <c r="AA53" t="s">
        <v>53</v>
      </c>
      <c r="AB53" cm="1">
        <f t="array" ref="AB53">SUM(IF("X" = F53:AA53, 1, 0))</f>
        <v>19</v>
      </c>
      <c r="AC53" cm="1">
        <f t="array" ref="AC53">SUM(IF("?" = F53:AA53, 1, 0)) + AB53</f>
        <v>19</v>
      </c>
      <c r="AF53" t="b">
        <f t="shared" si="1"/>
        <v>1</v>
      </c>
      <c r="AG53" t="b">
        <f t="shared" si="1"/>
        <v>1</v>
      </c>
    </row>
    <row r="54" spans="1:33" x14ac:dyDescent="0.2">
      <c r="A54" t="s">
        <v>52</v>
      </c>
      <c r="B54">
        <v>14</v>
      </c>
      <c r="C54">
        <v>14</v>
      </c>
      <c r="F54" t="s">
        <v>53</v>
      </c>
      <c r="G54" t="s">
        <v>53</v>
      </c>
      <c r="K54" t="s">
        <v>53</v>
      </c>
      <c r="N54" t="s">
        <v>53</v>
      </c>
      <c r="O54" t="s">
        <v>53</v>
      </c>
      <c r="P54" t="s">
        <v>53</v>
      </c>
      <c r="Q54" t="s">
        <v>53</v>
      </c>
      <c r="R54" t="s">
        <v>53</v>
      </c>
      <c r="S54" t="s">
        <v>53</v>
      </c>
      <c r="T54" t="s">
        <v>53</v>
      </c>
      <c r="U54" t="s">
        <v>53</v>
      </c>
      <c r="W54" t="s">
        <v>53</v>
      </c>
      <c r="Z54" t="s">
        <v>53</v>
      </c>
      <c r="AA54" t="s">
        <v>53</v>
      </c>
      <c r="AB54" cm="1">
        <f t="array" ref="AB54">SUM(IF("X" = F54:AA54, 1, 0))</f>
        <v>14</v>
      </c>
      <c r="AC54" cm="1">
        <f t="array" ref="AC54">SUM(IF("?" = F54:AA54, 1, 0)) + AB54</f>
        <v>14</v>
      </c>
      <c r="AF54" t="b">
        <f t="shared" si="1"/>
        <v>1</v>
      </c>
      <c r="AG54" t="b">
        <f t="shared" si="1"/>
        <v>1</v>
      </c>
    </row>
    <row r="55" spans="1:33" x14ac:dyDescent="0.2">
      <c r="A55" t="s">
        <v>61</v>
      </c>
      <c r="B55">
        <v>18</v>
      </c>
      <c r="C55">
        <v>18</v>
      </c>
      <c r="F55" t="s">
        <v>53</v>
      </c>
      <c r="G55" t="s">
        <v>53</v>
      </c>
      <c r="I55" t="s">
        <v>53</v>
      </c>
      <c r="K55" t="s">
        <v>53</v>
      </c>
      <c r="L55" t="s">
        <v>53</v>
      </c>
      <c r="M55" t="s">
        <v>53</v>
      </c>
      <c r="N55" t="s">
        <v>53</v>
      </c>
      <c r="O55" t="s">
        <v>53</v>
      </c>
      <c r="P55" t="s">
        <v>53</v>
      </c>
      <c r="Q55" t="s">
        <v>53</v>
      </c>
      <c r="R55" t="s">
        <v>53</v>
      </c>
      <c r="S55" t="s">
        <v>53</v>
      </c>
      <c r="U55" t="s">
        <v>53</v>
      </c>
      <c r="V55" t="s">
        <v>53</v>
      </c>
      <c r="W55" t="s">
        <v>53</v>
      </c>
      <c r="X55" t="s">
        <v>53</v>
      </c>
      <c r="Y55" t="s">
        <v>53</v>
      </c>
      <c r="Z55" t="s">
        <v>53</v>
      </c>
      <c r="AB55" cm="1">
        <f t="array" ref="AB55">SUM(IF("X" = F55:AA55, 1, 0))</f>
        <v>18</v>
      </c>
      <c r="AC55" cm="1">
        <f t="array" ref="AC55">SUM(IF("?" = F55:AA55, 1, 0)) + AB55</f>
        <v>18</v>
      </c>
      <c r="AF55" t="b">
        <f t="shared" si="1"/>
        <v>1</v>
      </c>
      <c r="AG55" t="b">
        <f t="shared" si="1"/>
        <v>1</v>
      </c>
    </row>
    <row r="56" spans="1:33" x14ac:dyDescent="0.2">
      <c r="A56" t="s">
        <v>62</v>
      </c>
      <c r="B56">
        <v>17</v>
      </c>
      <c r="C56">
        <v>17</v>
      </c>
      <c r="F56" t="s">
        <v>53</v>
      </c>
      <c r="G56" t="s">
        <v>53</v>
      </c>
      <c r="H56" t="s">
        <v>53</v>
      </c>
      <c r="I56" t="s">
        <v>53</v>
      </c>
      <c r="L56" t="s">
        <v>53</v>
      </c>
      <c r="M56" t="s">
        <v>53</v>
      </c>
      <c r="N56" t="s">
        <v>53</v>
      </c>
      <c r="O56" t="s">
        <v>53</v>
      </c>
      <c r="P56" t="s">
        <v>53</v>
      </c>
      <c r="Q56" t="s">
        <v>53</v>
      </c>
      <c r="R56" t="s">
        <v>53</v>
      </c>
      <c r="U56" t="s">
        <v>53</v>
      </c>
      <c r="V56" t="s">
        <v>53</v>
      </c>
      <c r="W56" t="s">
        <v>53</v>
      </c>
      <c r="X56" t="s">
        <v>53</v>
      </c>
      <c r="Y56" t="s">
        <v>53</v>
      </c>
      <c r="Z56" t="s">
        <v>53</v>
      </c>
      <c r="AB56" cm="1">
        <f t="array" ref="AB56">SUM(IF("X" = F56:AA56, 1, 0))</f>
        <v>17</v>
      </c>
      <c r="AC56" cm="1">
        <f t="array" ref="AC56">SUM(IF("?" = F56:AA56, 1, 0)) + AB56</f>
        <v>17</v>
      </c>
      <c r="AF56" t="b">
        <f t="shared" si="1"/>
        <v>1</v>
      </c>
      <c r="AG56" t="b">
        <f t="shared" si="1"/>
        <v>1</v>
      </c>
    </row>
    <row r="57" spans="1:33" x14ac:dyDescent="0.2">
      <c r="A57" t="s">
        <v>63</v>
      </c>
      <c r="B57">
        <v>13</v>
      </c>
      <c r="C57">
        <v>13</v>
      </c>
      <c r="J57" t="s">
        <v>53</v>
      </c>
      <c r="N57" t="s">
        <v>53</v>
      </c>
      <c r="O57" t="s">
        <v>53</v>
      </c>
      <c r="P57" t="s">
        <v>53</v>
      </c>
      <c r="Q57" t="s">
        <v>53</v>
      </c>
      <c r="R57" t="s">
        <v>53</v>
      </c>
      <c r="T57" t="s">
        <v>53</v>
      </c>
      <c r="V57" t="s">
        <v>53</v>
      </c>
      <c r="W57" t="s">
        <v>53</v>
      </c>
      <c r="X57" t="s">
        <v>53</v>
      </c>
      <c r="Y57" t="s">
        <v>53</v>
      </c>
      <c r="Z57" t="s">
        <v>53</v>
      </c>
      <c r="AA57" t="s">
        <v>53</v>
      </c>
      <c r="AB57" cm="1">
        <f t="array" ref="AB57">SUM(IF("X" = F57:AA57, 1, 0))</f>
        <v>13</v>
      </c>
      <c r="AC57" cm="1">
        <f t="array" ref="AC57">SUM(IF("?" = F57:AA57, 1, 0)) + AB57</f>
        <v>13</v>
      </c>
      <c r="AF57" t="b">
        <f t="shared" si="1"/>
        <v>1</v>
      </c>
      <c r="AG57" t="b">
        <f t="shared" si="1"/>
        <v>1</v>
      </c>
    </row>
    <row r="58" spans="1:33" x14ac:dyDescent="0.2">
      <c r="B58">
        <f>AVERAGE(B37:B57)</f>
        <v>15.428571428571429</v>
      </c>
      <c r="C58">
        <f>AVERAGE(C37:C57)</f>
        <v>15.619047619047619</v>
      </c>
    </row>
    <row r="59" spans="1:33" x14ac:dyDescent="0.2">
      <c r="A59">
        <f>COUNTA(A37:A57)</f>
        <v>21</v>
      </c>
    </row>
    <row r="60" spans="1:33" x14ac:dyDescent="0.2">
      <c r="E60" t="s">
        <v>59</v>
      </c>
      <c r="F60" cm="1">
        <f t="array" ref="F60">SUM(IF("X"=F2:F34,1, 0)) + SUM(IF("?"=F2:F34,1, 0))</f>
        <v>28</v>
      </c>
      <c r="G60" cm="1">
        <f t="array" ref="G60">SUM(IF("X"=G2:G34,1, 0)) + SUM(IF("?"=G2:G34,1, 0))</f>
        <v>32</v>
      </c>
      <c r="H60" cm="1">
        <f t="array" ref="H60">SUM(IF("X"=H2:H34,1, 0)) + SUM(IF("?"=H2:H34,1, 0))</f>
        <v>15</v>
      </c>
      <c r="I60" cm="1">
        <f t="array" ref="I60">SUM(IF("X"=I2:I34,1, 0)) + SUM(IF("?"=I2:I34,1, 0))</f>
        <v>15</v>
      </c>
      <c r="J60" cm="1">
        <f t="array" ref="J60">SUM(IF("X"=J2:J34,1, 0)) + SUM(IF("?"=J2:J34,1, 0))</f>
        <v>22</v>
      </c>
      <c r="K60" cm="1">
        <f t="array" ref="K60">SUM(IF("X"=K2:K34,1, 0)) + SUM(IF("?"=K2:K34,1, 0))</f>
        <v>21</v>
      </c>
      <c r="L60" cm="1">
        <f t="array" ref="L60">SUM(IF("X"=L2:L34,1, 0)) + SUM(IF("?"=L2:L34,1, 0))</f>
        <v>14</v>
      </c>
      <c r="M60" cm="1">
        <f t="array" ref="M60">SUM(IF("X"=M2:M34,1, 0)) + SUM(IF("?"=M2:M34,1, 0))</f>
        <v>22</v>
      </c>
      <c r="N60" cm="1">
        <f t="array" ref="N60">SUM(IF("X"=N2:N34,1, 0)) + SUM(IF("?"=N2:N34,1, 0))</f>
        <v>27</v>
      </c>
      <c r="O60" cm="1">
        <f t="array" ref="O60">SUM(IF("X"=O2:O34,1, 0)) + SUM(IF("?"=O2:O34,1, 0))</f>
        <v>27</v>
      </c>
      <c r="P60" cm="1">
        <f t="array" ref="P60">SUM(IF("X"=P2:P34,1, 0)) + SUM(IF("?"=P2:P34,1, 0))</f>
        <v>26</v>
      </c>
      <c r="Q60" cm="1">
        <f t="array" ref="Q60">SUM(IF("X"=Q2:Q34,1, 0)) + SUM(IF("?"=Q2:Q34,1, 0))</f>
        <v>27</v>
      </c>
      <c r="R60" cm="1">
        <f t="array" ref="R60">SUM(IF("X"=R2:R34,1, 0)) + SUM(IF("?"=R2:R34,1, 0))</f>
        <v>32</v>
      </c>
      <c r="S60" cm="1">
        <f t="array" ref="S60">SUM(IF("X"=S2:S34,1, 0)) + SUM(IF("?"=S2:S34,1, 0))</f>
        <v>24</v>
      </c>
      <c r="T60" cm="1">
        <f t="array" ref="T60">SUM(IF("X"=T2:T34,1, 0)) + SUM(IF("?"=T2:T34,1, 0))</f>
        <v>32</v>
      </c>
      <c r="U60" cm="1">
        <f t="array" ref="U60">SUM(IF("X"=U2:U34,1, 0)) + SUM(IF("?"=U2:U34,1, 0))</f>
        <v>32</v>
      </c>
      <c r="V60" cm="1">
        <f t="array" ref="V60">SUM(IF("X"=V2:V34,1, 0)) + SUM(IF("?"=V2:V34,1, 0))</f>
        <v>20</v>
      </c>
      <c r="W60" cm="1">
        <f t="array" ref="W60">SUM(IF("X"=W2:W34,1, 0)) + SUM(IF("?"=W2:W34,1, 0))</f>
        <v>27</v>
      </c>
      <c r="X60" cm="1">
        <f t="array" ref="X60">SUM(IF("X"=X2:X34,1, 0)) + SUM(IF("?"=X2:X34,1, 0))</f>
        <v>9</v>
      </c>
      <c r="Y60" cm="1">
        <f t="array" ref="Y60">SUM(IF("X"=Y2:Y34,1, 0)) + SUM(IF("?"=Y2:Y34,1, 0))</f>
        <v>20</v>
      </c>
      <c r="Z60" cm="1">
        <f t="array" ref="Z60">SUM(IF("X"=Z2:Z34,1, 0)) + SUM(IF("?"=Z2:Z34,1, 0))</f>
        <v>14</v>
      </c>
      <c r="AA60" cm="1">
        <f t="array" ref="AA60">SUM(IF("X"=AA2:AA34,1, 0)) + SUM(IF("?"=AA2:AA34,1, 0))</f>
        <v>29</v>
      </c>
    </row>
    <row r="61" spans="1:33" x14ac:dyDescent="0.2">
      <c r="F61" s="1">
        <f>F60/33</f>
        <v>0.84848484848484851</v>
      </c>
      <c r="G61" s="1">
        <f t="shared" ref="G61:AA61" si="2">G60/33</f>
        <v>0.96969696969696972</v>
      </c>
      <c r="H61" s="1">
        <f t="shared" si="2"/>
        <v>0.45454545454545453</v>
      </c>
      <c r="I61" s="1">
        <f t="shared" si="2"/>
        <v>0.45454545454545453</v>
      </c>
      <c r="J61" s="1">
        <f t="shared" si="2"/>
        <v>0.66666666666666663</v>
      </c>
      <c r="K61" s="1">
        <f t="shared" si="2"/>
        <v>0.63636363636363635</v>
      </c>
      <c r="L61" s="1">
        <f t="shared" si="2"/>
        <v>0.42424242424242425</v>
      </c>
      <c r="M61" s="1">
        <f t="shared" si="2"/>
        <v>0.66666666666666663</v>
      </c>
      <c r="N61" s="1">
        <f t="shared" si="2"/>
        <v>0.81818181818181823</v>
      </c>
      <c r="O61" s="1">
        <f t="shared" si="2"/>
        <v>0.81818181818181823</v>
      </c>
      <c r="P61" s="1">
        <f t="shared" si="2"/>
        <v>0.78787878787878785</v>
      </c>
      <c r="Q61" s="1">
        <f t="shared" si="2"/>
        <v>0.81818181818181823</v>
      </c>
      <c r="R61" s="1">
        <f t="shared" si="2"/>
        <v>0.96969696969696972</v>
      </c>
      <c r="S61" s="1">
        <f t="shared" si="2"/>
        <v>0.72727272727272729</v>
      </c>
      <c r="T61" s="1">
        <f t="shared" si="2"/>
        <v>0.96969696969696972</v>
      </c>
      <c r="U61" s="1">
        <f t="shared" si="2"/>
        <v>0.96969696969696972</v>
      </c>
      <c r="V61" s="1">
        <f t="shared" si="2"/>
        <v>0.60606060606060608</v>
      </c>
      <c r="W61" s="1">
        <f t="shared" si="2"/>
        <v>0.81818181818181823</v>
      </c>
      <c r="X61" s="1">
        <f t="shared" si="2"/>
        <v>0.27272727272727271</v>
      </c>
      <c r="Y61" s="1">
        <f t="shared" si="2"/>
        <v>0.60606060606060608</v>
      </c>
      <c r="Z61" s="1">
        <f t="shared" si="2"/>
        <v>0.42424242424242425</v>
      </c>
      <c r="AA61" s="1">
        <f t="shared" si="2"/>
        <v>0.87878787878787878</v>
      </c>
    </row>
    <row r="62" spans="1:33" x14ac:dyDescent="0.2">
      <c r="H62" t="s">
        <v>53</v>
      </c>
      <c r="I62" t="s">
        <v>53</v>
      </c>
      <c r="L62" t="s">
        <v>53</v>
      </c>
      <c r="O62" t="s">
        <v>53</v>
      </c>
      <c r="S62" t="s">
        <v>53</v>
      </c>
      <c r="X62" t="s">
        <v>53</v>
      </c>
      <c r="Z62" t="s">
        <v>53</v>
      </c>
      <c r="AA62" t="s">
        <v>53</v>
      </c>
    </row>
    <row r="63" spans="1:33" x14ac:dyDescent="0.2">
      <c r="E63" t="s">
        <v>60</v>
      </c>
      <c r="F63" cm="1">
        <f t="array" ref="F63">SUM(IF("X"=F37:F57,1, 0))</f>
        <v>19</v>
      </c>
      <c r="G63" cm="1">
        <f t="array" ref="G63">SUM(IF("X"=G37:G57,1, 0))</f>
        <v>15</v>
      </c>
      <c r="H63" cm="1">
        <f t="array" ref="H63">SUM(IF("X"=H37:H57,1, 0))</f>
        <v>11</v>
      </c>
      <c r="I63" cm="1">
        <f t="array" ref="I63">SUM(IF("X"=I37:I57,1, 0))</f>
        <v>11</v>
      </c>
      <c r="J63" cm="1">
        <f t="array" ref="J63">SUM(IF("X"=J37:J57,1, 0))</f>
        <v>14</v>
      </c>
      <c r="K63" cm="1">
        <f t="array" ref="K63">SUM(IF("X"=K37:K57,1, 0))</f>
        <v>15</v>
      </c>
      <c r="L63" cm="1">
        <f t="array" ref="L63">SUM(IF("X"=L37:L57,1, 0))</f>
        <v>13</v>
      </c>
      <c r="M63" cm="1">
        <f t="array" ref="M63">SUM(IF("X"=M37:M57,1, 0))</f>
        <v>14</v>
      </c>
      <c r="N63" cm="1">
        <f t="array" ref="N63">SUM(IF("X"=N37:N57,1, 0))</f>
        <v>15</v>
      </c>
      <c r="O63" cm="1">
        <f t="array" ref="O63">SUM(IF("X"=O37:O57,1, 0))</f>
        <v>18</v>
      </c>
      <c r="P63" cm="1">
        <f t="array" ref="P63">SUM(IF("X"=P37:P57,1, 0))</f>
        <v>21</v>
      </c>
      <c r="Q63" cm="1">
        <f t="array" ref="Q63">SUM(IF("X"=Q37:Q57,1, 0))</f>
        <v>17</v>
      </c>
      <c r="R63" cm="1">
        <f t="array" ref="R63">SUM(IF("X"=R37:R57,1, 0))</f>
        <v>20</v>
      </c>
      <c r="S63" cm="1">
        <f t="array" ref="S63">SUM(IF("X"=S37:S57,1, 0))</f>
        <v>13</v>
      </c>
      <c r="T63" cm="1">
        <f t="array" ref="T63">SUM(IF("X"=T37:T57,1, 0))</f>
        <v>11</v>
      </c>
      <c r="U63" cm="1">
        <f t="array" ref="U63">SUM(IF("X"=U37:U57,1, 0))</f>
        <v>12</v>
      </c>
      <c r="V63" cm="1">
        <f t="array" ref="V63">SUM(IF("X"=V37:V57,1, 0))</f>
        <v>14</v>
      </c>
      <c r="W63" cm="1">
        <f t="array" ref="W63">SUM(IF("X"=W37:W57,1, 0))</f>
        <v>16</v>
      </c>
      <c r="X63" cm="1">
        <f t="array" ref="X63">SUM(IF("X"=X37:X57,1, 0))</f>
        <v>12</v>
      </c>
      <c r="Y63" cm="1">
        <f t="array" ref="Y63">SUM(IF("X"=Y37:Y57,1, 0))</f>
        <v>15</v>
      </c>
      <c r="Z63" cm="1">
        <f t="array" ref="Z63">SUM(IF("X"=Z37:Z57,1, 0))</f>
        <v>16</v>
      </c>
      <c r="AA63" cm="1">
        <f t="array" ref="AA63">SUM(IF("X"=AA37:AA57,1, 0))</f>
        <v>16</v>
      </c>
    </row>
    <row r="64" spans="1:33" x14ac:dyDescent="0.2">
      <c r="F64" s="1">
        <f>F63/$A$59</f>
        <v>0.90476190476190477</v>
      </c>
      <c r="G64" s="1">
        <f t="shared" ref="G64:AA64" si="3">G63/$A$59</f>
        <v>0.7142857142857143</v>
      </c>
      <c r="H64" s="1">
        <f t="shared" si="3"/>
        <v>0.52380952380952384</v>
      </c>
      <c r="I64" s="1">
        <f t="shared" si="3"/>
        <v>0.52380952380952384</v>
      </c>
      <c r="J64" s="1">
        <f t="shared" si="3"/>
        <v>0.66666666666666663</v>
      </c>
      <c r="K64" s="1">
        <f t="shared" si="3"/>
        <v>0.7142857142857143</v>
      </c>
      <c r="L64" s="1">
        <f t="shared" si="3"/>
        <v>0.61904761904761907</v>
      </c>
      <c r="M64" s="1">
        <f t="shared" si="3"/>
        <v>0.66666666666666663</v>
      </c>
      <c r="N64" s="1">
        <f t="shared" si="3"/>
        <v>0.7142857142857143</v>
      </c>
      <c r="O64" s="1">
        <f t="shared" si="3"/>
        <v>0.8571428571428571</v>
      </c>
      <c r="P64" s="1">
        <f t="shared" si="3"/>
        <v>1</v>
      </c>
      <c r="Q64" s="1">
        <f t="shared" si="3"/>
        <v>0.80952380952380953</v>
      </c>
      <c r="R64" s="1">
        <f t="shared" si="3"/>
        <v>0.95238095238095233</v>
      </c>
      <c r="S64" s="1">
        <f t="shared" si="3"/>
        <v>0.61904761904761907</v>
      </c>
      <c r="T64" s="1">
        <f t="shared" si="3"/>
        <v>0.52380952380952384</v>
      </c>
      <c r="U64" s="1">
        <f t="shared" si="3"/>
        <v>0.5714285714285714</v>
      </c>
      <c r="V64" s="1">
        <f t="shared" si="3"/>
        <v>0.66666666666666663</v>
      </c>
      <c r="W64" s="1">
        <f t="shared" si="3"/>
        <v>0.76190476190476186</v>
      </c>
      <c r="X64" s="1">
        <f t="shared" si="3"/>
        <v>0.5714285714285714</v>
      </c>
      <c r="Y64" s="1">
        <f t="shared" si="3"/>
        <v>0.7142857142857143</v>
      </c>
      <c r="Z64" s="1">
        <f t="shared" si="3"/>
        <v>0.76190476190476186</v>
      </c>
      <c r="AA64" s="1">
        <f t="shared" si="3"/>
        <v>0.76190476190476186</v>
      </c>
    </row>
    <row r="66" spans="1:29" x14ac:dyDescent="0.2">
      <c r="A66" t="s">
        <v>58</v>
      </c>
      <c r="B66">
        <v>17</v>
      </c>
      <c r="C66">
        <v>21</v>
      </c>
      <c r="F66" t="s">
        <v>53</v>
      </c>
      <c r="G66" t="s">
        <v>53</v>
      </c>
      <c r="H66" t="s">
        <v>43</v>
      </c>
      <c r="I66" t="s">
        <v>53</v>
      </c>
      <c r="J66" t="s">
        <v>53</v>
      </c>
      <c r="K66" t="s">
        <v>53</v>
      </c>
      <c r="L66" t="s">
        <v>53</v>
      </c>
      <c r="M66" t="s">
        <v>53</v>
      </c>
      <c r="N66" t="s">
        <v>53</v>
      </c>
      <c r="O66" t="s">
        <v>53</v>
      </c>
      <c r="P66" t="s">
        <v>53</v>
      </c>
      <c r="R66" t="s">
        <v>53</v>
      </c>
      <c r="S66" t="s">
        <v>43</v>
      </c>
      <c r="T66" t="s">
        <v>53</v>
      </c>
      <c r="U66" t="s">
        <v>53</v>
      </c>
      <c r="V66" t="s">
        <v>53</v>
      </c>
      <c r="W66" t="s">
        <v>53</v>
      </c>
      <c r="X66" t="s">
        <v>53</v>
      </c>
      <c r="Y66" t="s">
        <v>53</v>
      </c>
      <c r="Z66" t="s">
        <v>53</v>
      </c>
      <c r="AA66" t="s">
        <v>53</v>
      </c>
      <c r="AB66" cm="1">
        <f t="array" ref="AB66">SUM(IF("X" = F66:AA66, 1, 0))</f>
        <v>19</v>
      </c>
      <c r="AC66" cm="1">
        <f t="array" ref="AC66">SUM(IF("?" = F66:AA66, 1, 0)) + AB66</f>
        <v>21</v>
      </c>
    </row>
    <row r="68" spans="1:29" x14ac:dyDescent="0.2">
      <c r="F68" s="1">
        <f>F64-F61</f>
        <v>5.6277056277056259E-2</v>
      </c>
      <c r="G68" s="2">
        <f t="shared" ref="G68:AA68" si="4">G64-G61</f>
        <v>-0.25541125541125542</v>
      </c>
      <c r="H68" s="1">
        <f t="shared" si="4"/>
        <v>6.9264069264069306E-2</v>
      </c>
      <c r="I68" s="1">
        <f t="shared" si="4"/>
        <v>6.9264069264069306E-2</v>
      </c>
      <c r="J68" s="1">
        <f t="shared" si="4"/>
        <v>0</v>
      </c>
      <c r="K68" s="1">
        <f t="shared" si="4"/>
        <v>7.7922077922077948E-2</v>
      </c>
      <c r="L68" s="1">
        <f t="shared" si="4"/>
        <v>0.19480519480519481</v>
      </c>
      <c r="M68" s="1">
        <f t="shared" si="4"/>
        <v>0</v>
      </c>
      <c r="N68" s="2">
        <f t="shared" si="4"/>
        <v>-0.10389610389610393</v>
      </c>
      <c r="O68" s="1">
        <f t="shared" si="4"/>
        <v>3.8961038961038863E-2</v>
      </c>
      <c r="P68" s="1">
        <f t="shared" si="4"/>
        <v>0.21212121212121215</v>
      </c>
      <c r="Q68" s="2">
        <f t="shared" si="4"/>
        <v>-8.6580086580086979E-3</v>
      </c>
      <c r="R68" s="2">
        <f t="shared" si="4"/>
        <v>-1.7316017316017396E-2</v>
      </c>
      <c r="S68" s="7">
        <f t="shared" si="4"/>
        <v>-0.10822510822510822</v>
      </c>
      <c r="T68" s="2">
        <f t="shared" si="4"/>
        <v>-0.44588744588744589</v>
      </c>
      <c r="U68" s="2">
        <f t="shared" si="4"/>
        <v>-0.39826839826839833</v>
      </c>
      <c r="V68" s="1">
        <f t="shared" si="4"/>
        <v>6.0606060606060552E-2</v>
      </c>
      <c r="W68" s="2">
        <f t="shared" si="4"/>
        <v>-5.627705627705637E-2</v>
      </c>
      <c r="X68" s="1">
        <f t="shared" si="4"/>
        <v>0.29870129870129869</v>
      </c>
      <c r="Y68" s="1">
        <f t="shared" si="4"/>
        <v>0.10822510822510822</v>
      </c>
      <c r="Z68" s="1">
        <f t="shared" si="4"/>
        <v>0.33766233766233761</v>
      </c>
      <c r="AA68" s="7">
        <f t="shared" si="4"/>
        <v>-0.11688311688311692</v>
      </c>
    </row>
    <row r="69" spans="1:29" x14ac:dyDescent="0.2">
      <c r="G69" t="s">
        <v>53</v>
      </c>
      <c r="N69" t="s">
        <v>53</v>
      </c>
      <c r="Q69" t="s">
        <v>53</v>
      </c>
      <c r="R69" t="s">
        <v>53</v>
      </c>
      <c r="T69" t="s">
        <v>53</v>
      </c>
      <c r="U69" t="s">
        <v>53</v>
      </c>
      <c r="W69" t="s">
        <v>53</v>
      </c>
    </row>
    <row r="72" spans="1:29" x14ac:dyDescent="0.2">
      <c r="F72" s="6">
        <f>(F64/F61)</f>
        <v>1.0663265306122449</v>
      </c>
      <c r="G72" s="6">
        <f t="shared" ref="G72:AA72" si="5">(G64/G61)</f>
        <v>0.7366071428571429</v>
      </c>
      <c r="H72" s="6">
        <f t="shared" si="5"/>
        <v>1.1523809523809525</v>
      </c>
      <c r="I72" s="6">
        <f t="shared" si="5"/>
        <v>1.1523809523809525</v>
      </c>
      <c r="J72" s="6">
        <f t="shared" si="5"/>
        <v>1</v>
      </c>
      <c r="K72" s="6">
        <f t="shared" si="5"/>
        <v>1.1224489795918369</v>
      </c>
      <c r="L72" s="6">
        <f t="shared" si="5"/>
        <v>1.4591836734693877</v>
      </c>
      <c r="M72" s="6">
        <f t="shared" si="5"/>
        <v>1</v>
      </c>
      <c r="N72" s="6">
        <f t="shared" si="5"/>
        <v>0.87301587301587302</v>
      </c>
      <c r="O72" s="6">
        <f t="shared" si="5"/>
        <v>1.0476190476190474</v>
      </c>
      <c r="P72" s="6">
        <f t="shared" si="5"/>
        <v>1.2692307692307694</v>
      </c>
      <c r="Q72" s="6">
        <f t="shared" si="5"/>
        <v>0.98941798941798942</v>
      </c>
      <c r="R72" s="6">
        <f t="shared" si="5"/>
        <v>0.9821428571428571</v>
      </c>
      <c r="S72" s="6">
        <f t="shared" si="5"/>
        <v>0.85119047619047616</v>
      </c>
      <c r="T72" s="6">
        <f t="shared" si="5"/>
        <v>0.5401785714285714</v>
      </c>
      <c r="U72" s="6">
        <f t="shared" si="5"/>
        <v>0.58928571428571419</v>
      </c>
      <c r="V72" s="6">
        <f t="shared" si="5"/>
        <v>1.0999999999999999</v>
      </c>
      <c r="W72" s="6">
        <f t="shared" si="5"/>
        <v>0.93121693121693105</v>
      </c>
      <c r="X72" s="6">
        <f t="shared" si="5"/>
        <v>2.0952380952380953</v>
      </c>
      <c r="Y72" s="6">
        <f t="shared" si="5"/>
        <v>1.1785714285714286</v>
      </c>
      <c r="Z72" s="6">
        <f t="shared" si="5"/>
        <v>1.7959183673469385</v>
      </c>
      <c r="AA72" s="6">
        <f t="shared" si="5"/>
        <v>0.86699507389162556</v>
      </c>
      <c r="AC72">
        <f>PRODUCT((F72:AA72))</f>
        <v>2.0565606365018869</v>
      </c>
    </row>
    <row r="74" spans="1:29" x14ac:dyDescent="0.2">
      <c r="F74">
        <f>((F60)/(33))/((F63)/($A$59))</f>
        <v>0.93779904306220097</v>
      </c>
      <c r="G74">
        <f t="shared" ref="G74:AA74" si="6">((G60)/(33))/((G63)/($A$59))</f>
        <v>1.3575757575757577</v>
      </c>
      <c r="H74">
        <f t="shared" si="6"/>
        <v>0.8677685950413222</v>
      </c>
      <c r="I74">
        <f t="shared" si="6"/>
        <v>0.8677685950413222</v>
      </c>
      <c r="J74">
        <f t="shared" si="6"/>
        <v>1</v>
      </c>
      <c r="K74">
        <f t="shared" si="6"/>
        <v>0.89090909090909087</v>
      </c>
      <c r="L74">
        <f t="shared" si="6"/>
        <v>0.68531468531468531</v>
      </c>
      <c r="M74">
        <f t="shared" si="6"/>
        <v>1</v>
      </c>
      <c r="N74">
        <f t="shared" si="6"/>
        <v>1.1454545454545455</v>
      </c>
      <c r="O74">
        <f t="shared" si="6"/>
        <v>0.9545454545454547</v>
      </c>
      <c r="P74">
        <f t="shared" si="6"/>
        <v>0.78787878787878785</v>
      </c>
      <c r="Q74">
        <f t="shared" si="6"/>
        <v>1.0106951871657754</v>
      </c>
      <c r="R74">
        <f t="shared" si="6"/>
        <v>1.0181818181818183</v>
      </c>
      <c r="S74">
        <f t="shared" si="6"/>
        <v>1.1748251748251748</v>
      </c>
      <c r="T74">
        <f t="shared" si="6"/>
        <v>1.8512396694214877</v>
      </c>
      <c r="U74">
        <f t="shared" si="6"/>
        <v>1.696969696969697</v>
      </c>
      <c r="V74">
        <f t="shared" si="6"/>
        <v>0.90909090909090917</v>
      </c>
      <c r="W74">
        <f t="shared" si="6"/>
        <v>1.0738636363636365</v>
      </c>
      <c r="X74">
        <f t="shared" si="6"/>
        <v>0.47727272727272724</v>
      </c>
      <c r="Y74">
        <f t="shared" si="6"/>
        <v>0.84848484848484851</v>
      </c>
      <c r="Z74">
        <f t="shared" si="6"/>
        <v>0.55681818181818188</v>
      </c>
      <c r="AA74">
        <f t="shared" si="6"/>
        <v>1.1534090909090911</v>
      </c>
      <c r="AC74">
        <f>PRODUCT((F74:AA74))</f>
        <v>0.48624873113440192</v>
      </c>
    </row>
    <row r="75" spans="1:29" x14ac:dyDescent="0.2">
      <c r="F75">
        <f>((F60+1)/(33+2))/((F63+1)/($A$59+2))</f>
        <v>0.95285714285714296</v>
      </c>
      <c r="G75">
        <f t="shared" ref="G75:Z75" si="7">((G60+1)/(33+2))/((G63+1)/($A$59+2))</f>
        <v>1.3553571428571429</v>
      </c>
      <c r="H75">
        <f t="shared" si="7"/>
        <v>0.87619047619047619</v>
      </c>
      <c r="I75">
        <f t="shared" si="7"/>
        <v>0.87619047619047619</v>
      </c>
      <c r="J75">
        <f t="shared" si="7"/>
        <v>1.0076190476190476</v>
      </c>
      <c r="K75">
        <f t="shared" si="7"/>
        <v>0.90357142857142858</v>
      </c>
      <c r="L75">
        <f t="shared" si="7"/>
        <v>0.70408163265306112</v>
      </c>
      <c r="M75">
        <f t="shared" si="7"/>
        <v>1.0076190476190476</v>
      </c>
      <c r="N75">
        <f t="shared" si="7"/>
        <v>1.1500000000000001</v>
      </c>
      <c r="O75">
        <f t="shared" si="7"/>
        <v>0.96842105263157896</v>
      </c>
      <c r="P75">
        <f t="shared" si="7"/>
        <v>0.80649350649350648</v>
      </c>
      <c r="Q75">
        <f t="shared" si="7"/>
        <v>1.0222222222222221</v>
      </c>
      <c r="R75">
        <f t="shared" si="7"/>
        <v>1.0326530612244897</v>
      </c>
      <c r="S75">
        <f t="shared" si="7"/>
        <v>1.1734693877551019</v>
      </c>
      <c r="T75">
        <f t="shared" si="7"/>
        <v>1.8071428571428572</v>
      </c>
      <c r="U75">
        <f t="shared" si="7"/>
        <v>1.6681318681318682</v>
      </c>
      <c r="V75">
        <f t="shared" si="7"/>
        <v>0.91999999999999993</v>
      </c>
      <c r="W75">
        <f t="shared" si="7"/>
        <v>1.0823529411764707</v>
      </c>
      <c r="X75">
        <f t="shared" si="7"/>
        <v>0.50549450549450547</v>
      </c>
      <c r="Y75">
        <f t="shared" si="7"/>
        <v>0.86250000000000004</v>
      </c>
      <c r="Z75">
        <f t="shared" si="7"/>
        <v>0.57983193277310929</v>
      </c>
      <c r="AA75">
        <f>((AA60+1)/(33+2))/((AA63+1)/($A$59+2))</f>
        <v>1.1596638655462186</v>
      </c>
      <c r="AC75">
        <f>PRODUCT((F75:AA75))</f>
        <v>0.62701898321550953</v>
      </c>
    </row>
    <row r="78" spans="1:29" x14ac:dyDescent="0.2">
      <c r="F78">
        <f>1/((F63+1)/(F63+F60+2))</f>
        <v>2.4499999999999997</v>
      </c>
      <c r="G78">
        <f t="shared" ref="G78:Z78" si="8">1/((G63+1)/(G63+G60+2))</f>
        <v>3.0625000000000004</v>
      </c>
      <c r="H78">
        <f t="shared" si="8"/>
        <v>2.3333333333333335</v>
      </c>
      <c r="I78">
        <f t="shared" si="8"/>
        <v>2.3333333333333335</v>
      </c>
      <c r="J78">
        <f t="shared" si="8"/>
        <v>2.5333333333333332</v>
      </c>
      <c r="K78">
        <f t="shared" si="8"/>
        <v>2.375</v>
      </c>
      <c r="L78">
        <f t="shared" si="8"/>
        <v>2.0714285714285712</v>
      </c>
      <c r="M78">
        <f t="shared" si="8"/>
        <v>2.5333333333333332</v>
      </c>
      <c r="N78">
        <f t="shared" si="8"/>
        <v>2.75</v>
      </c>
      <c r="O78">
        <f t="shared" si="8"/>
        <v>2.4736842105263159</v>
      </c>
      <c r="P78">
        <f t="shared" si="8"/>
        <v>2.2272727272727271</v>
      </c>
      <c r="Q78">
        <f t="shared" si="8"/>
        <v>2.5555555555555554</v>
      </c>
      <c r="R78">
        <f t="shared" si="8"/>
        <v>2.5714285714285712</v>
      </c>
      <c r="S78">
        <f t="shared" si="8"/>
        <v>2.7857142857142856</v>
      </c>
      <c r="T78">
        <f t="shared" si="8"/>
        <v>3.75</v>
      </c>
      <c r="U78">
        <f t="shared" si="8"/>
        <v>3.5384615384615388</v>
      </c>
      <c r="V78">
        <f t="shared" si="8"/>
        <v>2.4</v>
      </c>
      <c r="W78">
        <f t="shared" si="8"/>
        <v>2.6470588235294117</v>
      </c>
      <c r="X78">
        <f t="shared" si="8"/>
        <v>1.7692307692307694</v>
      </c>
      <c r="Y78">
        <f t="shared" si="8"/>
        <v>2.3125</v>
      </c>
      <c r="Z78">
        <f t="shared" si="8"/>
        <v>1.8823529411764706</v>
      </c>
      <c r="AA78">
        <f>1/((AA63+1)/(AA63+AA60+2))</f>
        <v>2.7647058823529411</v>
      </c>
      <c r="AC78">
        <f>PRODUCT((F78:AA78))</f>
        <v>642092380.7669512</v>
      </c>
    </row>
    <row r="82" spans="6:29" x14ac:dyDescent="0.2">
      <c r="F82">
        <f ca="1">_xlfn.NORM.INV(RAND(),0,STDEV($F74:$AA74))</f>
        <v>7.7130080441033283E-2</v>
      </c>
      <c r="G82">
        <f t="shared" ref="G82:AA83" ca="1" si="9">_xlfn.NORM.INV(RAND(),0,STDEV($F74:$AA74))</f>
        <v>-0.35665437241526349</v>
      </c>
      <c r="H82">
        <f t="shared" ca="1" si="9"/>
        <v>0.29901482892540443</v>
      </c>
      <c r="I82">
        <f t="shared" ca="1" si="9"/>
        <v>-0.33869057160318078</v>
      </c>
      <c r="J82">
        <f t="shared" ca="1" si="9"/>
        <v>8.7091195082029116E-2</v>
      </c>
      <c r="K82">
        <f t="shared" ca="1" si="9"/>
        <v>-0.24961364202851152</v>
      </c>
      <c r="L82">
        <f t="shared" ca="1" si="9"/>
        <v>0.34937832712663169</v>
      </c>
      <c r="M82">
        <f t="shared" ca="1" si="9"/>
        <v>-0.69255056389415004</v>
      </c>
      <c r="N82">
        <f t="shared" ca="1" si="9"/>
        <v>0.38412730624752234</v>
      </c>
      <c r="O82">
        <f t="shared" ca="1" si="9"/>
        <v>-0.25288913189434664</v>
      </c>
      <c r="P82">
        <f t="shared" ca="1" si="9"/>
        <v>-0.87261359604170396</v>
      </c>
      <c r="Q82">
        <f t="shared" ca="1" si="9"/>
        <v>-0.66925295359202441</v>
      </c>
      <c r="R82">
        <f t="shared" ca="1" si="9"/>
        <v>-6.4667353635308455E-2</v>
      </c>
      <c r="S82">
        <f t="shared" ca="1" si="9"/>
        <v>0.1293876880711356</v>
      </c>
      <c r="T82">
        <f t="shared" ca="1" si="9"/>
        <v>-0.25963968385738811</v>
      </c>
      <c r="U82">
        <f t="shared" ca="1" si="9"/>
        <v>-0.16551539702229123</v>
      </c>
      <c r="V82">
        <f t="shared" ca="1" si="9"/>
        <v>7.2227153721104442E-2</v>
      </c>
      <c r="W82">
        <f t="shared" ca="1" si="9"/>
        <v>-0.15307351522591167</v>
      </c>
      <c r="X82">
        <f t="shared" ca="1" si="9"/>
        <v>0.18244781874981236</v>
      </c>
      <c r="Y82">
        <f t="shared" ca="1" si="9"/>
        <v>-4.0237370196327789E-2</v>
      </c>
      <c r="Z82">
        <f t="shared" ca="1" si="9"/>
        <v>0.27689266478088231</v>
      </c>
      <c r="AA82">
        <f t="shared" ca="1" si="9"/>
        <v>0.22711401009720764</v>
      </c>
    </row>
    <row r="83" spans="6:29" x14ac:dyDescent="0.2">
      <c r="F83">
        <f ca="1">_xlfn.NORM.INV(RAND(),0,STDEV($F75:$AA75))</f>
        <v>0.12183042094354625</v>
      </c>
      <c r="G83">
        <f t="shared" ca="1" si="9"/>
        <v>1.8320182253541761E-2</v>
      </c>
      <c r="H83">
        <f t="shared" ca="1" si="9"/>
        <v>4.3336389549286092E-2</v>
      </c>
      <c r="I83">
        <f t="shared" ca="1" si="9"/>
        <v>9.6770303035082536E-2</v>
      </c>
      <c r="J83">
        <f t="shared" ca="1" si="9"/>
        <v>-0.35564923556016836</v>
      </c>
      <c r="K83">
        <f t="shared" ca="1" si="9"/>
        <v>-0.18632256051617563</v>
      </c>
      <c r="L83">
        <f t="shared" ca="1" si="9"/>
        <v>0.62570534683007917</v>
      </c>
      <c r="M83">
        <f t="shared" ca="1" si="9"/>
        <v>0.22086844088439206</v>
      </c>
      <c r="N83">
        <f t="shared" ca="1" si="9"/>
        <v>-0.17032328805986977</v>
      </c>
      <c r="O83">
        <f t="shared" ca="1" si="9"/>
        <v>9.3220754797447167E-2</v>
      </c>
      <c r="P83">
        <f t="shared" ca="1" si="9"/>
        <v>-6.1259121544219024E-2</v>
      </c>
      <c r="Q83">
        <f t="shared" ca="1" si="9"/>
        <v>-9.947745786552864E-2</v>
      </c>
      <c r="R83">
        <f t="shared" ca="1" si="9"/>
        <v>7.4068175860921348E-2</v>
      </c>
      <c r="S83">
        <f t="shared" ca="1" si="9"/>
        <v>0.28910812482399351</v>
      </c>
      <c r="T83">
        <f t="shared" ca="1" si="9"/>
        <v>-0.11201320982920222</v>
      </c>
      <c r="U83">
        <f t="shared" ca="1" si="9"/>
        <v>-0.43078452788846333</v>
      </c>
      <c r="V83">
        <f t="shared" ca="1" si="9"/>
        <v>-4.4656828927518176E-2</v>
      </c>
      <c r="W83">
        <f t="shared" ca="1" si="9"/>
        <v>4.7336572181795204E-2</v>
      </c>
      <c r="X83">
        <f t="shared" ca="1" si="9"/>
        <v>0.11257814702018122</v>
      </c>
      <c r="Y83">
        <f t="shared" ca="1" si="9"/>
        <v>-2.0223327947265948E-3</v>
      </c>
      <c r="Z83">
        <f t="shared" ca="1" si="9"/>
        <v>-3.5016569902773804E-2</v>
      </c>
      <c r="AA83">
        <f t="shared" ca="1" si="9"/>
        <v>0.1058144029720669</v>
      </c>
    </row>
    <row r="85" spans="6:29" x14ac:dyDescent="0.2">
      <c r="AB85" t="s">
        <v>86</v>
      </c>
      <c r="AC85">
        <f ca="1">_xlfn.T.TEST(F74:AA74,F82:AA82,2,2)</f>
        <v>6.1849365317408589E-14</v>
      </c>
    </row>
    <row r="86" spans="6:29" x14ac:dyDescent="0.2">
      <c r="AC86">
        <f ca="1">_xlfn.T.TEST(F75:AA75,F83:AA83,2,2)</f>
        <v>6.5312805492839133E-16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553FB-4780-6F4F-82FE-23BF203A651A}">
  <dimension ref="A1:AG32"/>
  <sheetViews>
    <sheetView workbookViewId="0">
      <selection activeCell="AB8" sqref="AB8"/>
    </sheetView>
  </sheetViews>
  <sheetFormatPr baseColWidth="10" defaultRowHeight="16" x14ac:dyDescent="0.2"/>
  <cols>
    <col min="1" max="1" width="13.33203125" bestFit="1" customWidth="1"/>
    <col min="2" max="2" width="11.33203125" bestFit="1" customWidth="1"/>
    <col min="3" max="3" width="11.6640625" bestFit="1" customWidth="1"/>
  </cols>
  <sheetData>
    <row r="1" spans="1:33" s="3" customFormat="1" ht="19" x14ac:dyDescent="0.25">
      <c r="A1" s="3" t="s">
        <v>0</v>
      </c>
      <c r="B1" s="3" t="s">
        <v>1</v>
      </c>
      <c r="C1" s="3" t="s">
        <v>2</v>
      </c>
      <c r="F1" s="4">
        <v>1</v>
      </c>
      <c r="G1" s="4">
        <v>2</v>
      </c>
      <c r="H1" s="4">
        <v>3</v>
      </c>
      <c r="I1" s="4">
        <v>4</v>
      </c>
      <c r="J1" s="4">
        <v>5</v>
      </c>
      <c r="K1" s="4">
        <v>6</v>
      </c>
      <c r="L1" s="4">
        <v>7</v>
      </c>
      <c r="M1" s="4">
        <v>8</v>
      </c>
      <c r="N1" s="4">
        <v>9</v>
      </c>
      <c r="O1" s="4">
        <v>10</v>
      </c>
      <c r="P1" s="4">
        <v>11</v>
      </c>
      <c r="Q1" s="4">
        <v>12</v>
      </c>
      <c r="R1" s="4">
        <v>13</v>
      </c>
      <c r="S1" s="4">
        <v>14</v>
      </c>
      <c r="T1" s="4">
        <v>15</v>
      </c>
      <c r="U1" s="4">
        <v>16</v>
      </c>
      <c r="V1" s="4">
        <v>17</v>
      </c>
      <c r="W1" s="4">
        <v>18</v>
      </c>
      <c r="X1" s="4">
        <v>19</v>
      </c>
      <c r="Y1" s="4">
        <v>20</v>
      </c>
      <c r="Z1" s="4">
        <v>21</v>
      </c>
      <c r="AA1" s="4">
        <v>22</v>
      </c>
      <c r="AB1" s="3" t="s">
        <v>55</v>
      </c>
      <c r="AC1" s="3" t="s">
        <v>56</v>
      </c>
    </row>
    <row r="2" spans="1:33" x14ac:dyDescent="0.2">
      <c r="A2" t="s">
        <v>34</v>
      </c>
      <c r="B2">
        <v>21</v>
      </c>
      <c r="C2">
        <v>21</v>
      </c>
      <c r="F2" t="s">
        <v>53</v>
      </c>
      <c r="G2" t="s">
        <v>53</v>
      </c>
      <c r="H2" t="s">
        <v>53</v>
      </c>
      <c r="I2" t="s">
        <v>53</v>
      </c>
      <c r="J2" t="s">
        <v>53</v>
      </c>
      <c r="K2" t="s">
        <v>53</v>
      </c>
      <c r="L2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  <c r="S2" t="s">
        <v>53</v>
      </c>
      <c r="U2" t="s">
        <v>53</v>
      </c>
      <c r="V2" t="s">
        <v>53</v>
      </c>
      <c r="W2" t="s">
        <v>53</v>
      </c>
      <c r="X2" t="s">
        <v>53</v>
      </c>
      <c r="Y2" t="s">
        <v>53</v>
      </c>
      <c r="Z2" t="s">
        <v>53</v>
      </c>
      <c r="AA2" t="s">
        <v>53</v>
      </c>
      <c r="AB2" cm="1">
        <f t="array" ref="AB2">SUM(IF("X" = F2:AA2, 1, 0))</f>
        <v>21</v>
      </c>
      <c r="AC2" cm="1">
        <f t="array" ref="AC2">SUM(IF("?" = F2:AA2, 1, 0)) + AB2</f>
        <v>21</v>
      </c>
      <c r="AF2" t="b">
        <f t="shared" ref="AF2:AG17" si="0">AB2=B2</f>
        <v>1</v>
      </c>
      <c r="AG2" t="b">
        <f t="shared" si="0"/>
        <v>1</v>
      </c>
    </row>
    <row r="3" spans="1:33" x14ac:dyDescent="0.2">
      <c r="A3" t="s">
        <v>35</v>
      </c>
      <c r="B3">
        <v>19</v>
      </c>
      <c r="C3">
        <v>20</v>
      </c>
      <c r="F3" t="s">
        <v>53</v>
      </c>
      <c r="G3" t="s">
        <v>53</v>
      </c>
      <c r="I3" t="s">
        <v>53</v>
      </c>
      <c r="J3" t="s">
        <v>53</v>
      </c>
      <c r="K3" t="s">
        <v>53</v>
      </c>
      <c r="M3" t="s">
        <v>53</v>
      </c>
      <c r="N3" t="s">
        <v>53</v>
      </c>
      <c r="O3" t="s">
        <v>53</v>
      </c>
      <c r="P3" t="s">
        <v>53</v>
      </c>
      <c r="Q3" t="s">
        <v>53</v>
      </c>
      <c r="R3" t="s">
        <v>53</v>
      </c>
      <c r="S3" t="s">
        <v>53</v>
      </c>
      <c r="T3" t="s">
        <v>53</v>
      </c>
      <c r="U3" t="s">
        <v>53</v>
      </c>
      <c r="V3" t="s">
        <v>53</v>
      </c>
      <c r="W3" t="s">
        <v>53</v>
      </c>
      <c r="X3" t="s">
        <v>53</v>
      </c>
      <c r="Y3" t="s">
        <v>53</v>
      </c>
      <c r="Z3" t="s">
        <v>53</v>
      </c>
      <c r="AA3" t="s">
        <v>53</v>
      </c>
      <c r="AB3" cm="1">
        <f t="array" ref="AB3">SUM(IF("X" = F3:AA3, 1, 0))</f>
        <v>20</v>
      </c>
      <c r="AC3" cm="1">
        <f t="array" ref="AC3">SUM(IF("?" = F3:AA3, 1, 0)) + AB3</f>
        <v>20</v>
      </c>
      <c r="AF3" t="b">
        <f t="shared" si="0"/>
        <v>0</v>
      </c>
      <c r="AG3" t="b">
        <f t="shared" si="0"/>
        <v>1</v>
      </c>
    </row>
    <row r="4" spans="1:33" x14ac:dyDescent="0.2">
      <c r="A4" t="s">
        <v>36</v>
      </c>
      <c r="B4">
        <v>18</v>
      </c>
      <c r="C4">
        <v>18</v>
      </c>
      <c r="F4" t="s">
        <v>53</v>
      </c>
      <c r="G4" t="s">
        <v>53</v>
      </c>
      <c r="H4" t="s">
        <v>53</v>
      </c>
      <c r="I4" t="s">
        <v>53</v>
      </c>
      <c r="J4" t="s">
        <v>53</v>
      </c>
      <c r="K4" t="s">
        <v>53</v>
      </c>
      <c r="L4" t="s">
        <v>53</v>
      </c>
      <c r="M4" t="s">
        <v>53</v>
      </c>
      <c r="O4" t="s">
        <v>53</v>
      </c>
      <c r="P4" t="s">
        <v>53</v>
      </c>
      <c r="Q4" t="s">
        <v>53</v>
      </c>
      <c r="T4" t="s">
        <v>53</v>
      </c>
      <c r="U4" t="s">
        <v>53</v>
      </c>
      <c r="V4" t="s">
        <v>53</v>
      </c>
      <c r="W4" t="s">
        <v>53</v>
      </c>
      <c r="Y4" t="s">
        <v>53</v>
      </c>
      <c r="Z4" t="s">
        <v>53</v>
      </c>
      <c r="AA4" t="s">
        <v>53</v>
      </c>
      <c r="AB4" cm="1">
        <f t="array" ref="AB4">SUM(IF("X" = F4:AA4, 1, 0))</f>
        <v>18</v>
      </c>
      <c r="AC4" cm="1">
        <f t="array" ref="AC4">SUM(IF("?" = F4:AA4, 1, 0)) + AB4</f>
        <v>18</v>
      </c>
      <c r="AF4" t="b">
        <f t="shared" si="0"/>
        <v>1</v>
      </c>
      <c r="AG4" t="b">
        <f t="shared" si="0"/>
        <v>1</v>
      </c>
    </row>
    <row r="5" spans="1:33" x14ac:dyDescent="0.2">
      <c r="A5" t="s">
        <v>37</v>
      </c>
      <c r="B5">
        <v>17</v>
      </c>
      <c r="C5">
        <v>17</v>
      </c>
      <c r="F5" t="s">
        <v>53</v>
      </c>
      <c r="G5" t="s">
        <v>53</v>
      </c>
      <c r="H5" t="s">
        <v>53</v>
      </c>
      <c r="I5" t="s">
        <v>53</v>
      </c>
      <c r="J5" t="s">
        <v>53</v>
      </c>
      <c r="K5" t="s">
        <v>53</v>
      </c>
      <c r="O5" t="s">
        <v>53</v>
      </c>
      <c r="P5" t="s">
        <v>53</v>
      </c>
      <c r="Q5" t="s">
        <v>53</v>
      </c>
      <c r="R5" t="s">
        <v>53</v>
      </c>
      <c r="S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cm="1">
        <f t="array" ref="AB5">SUM(IF("X" = F5:AA5, 1, 0))</f>
        <v>17</v>
      </c>
      <c r="AC5" cm="1">
        <f t="array" ref="AC5">SUM(IF("?" = F5:AA5, 1, 0)) + AB5</f>
        <v>17</v>
      </c>
      <c r="AF5" t="b">
        <f t="shared" si="0"/>
        <v>1</v>
      </c>
      <c r="AG5" t="b">
        <f t="shared" si="0"/>
        <v>1</v>
      </c>
    </row>
    <row r="6" spans="1:33" x14ac:dyDescent="0.2">
      <c r="A6" t="s">
        <v>38</v>
      </c>
      <c r="B6">
        <v>17</v>
      </c>
      <c r="C6">
        <v>18</v>
      </c>
      <c r="F6" t="s">
        <v>53</v>
      </c>
      <c r="G6" t="s">
        <v>53</v>
      </c>
      <c r="H6" t="s">
        <v>53</v>
      </c>
      <c r="I6" t="s">
        <v>53</v>
      </c>
      <c r="J6" t="s">
        <v>53</v>
      </c>
      <c r="K6" t="s">
        <v>53</v>
      </c>
      <c r="L6" t="s">
        <v>53</v>
      </c>
      <c r="M6" t="s">
        <v>53</v>
      </c>
      <c r="N6" t="s">
        <v>53</v>
      </c>
      <c r="O6" t="s">
        <v>53</v>
      </c>
      <c r="P6" t="s">
        <v>53</v>
      </c>
      <c r="Q6" t="s">
        <v>53</v>
      </c>
      <c r="R6" t="s">
        <v>53</v>
      </c>
      <c r="S6" t="s">
        <v>53</v>
      </c>
      <c r="W6" t="s">
        <v>53</v>
      </c>
      <c r="Y6" t="s">
        <v>53</v>
      </c>
      <c r="Z6" t="s">
        <v>53</v>
      </c>
      <c r="AA6" t="s">
        <v>53</v>
      </c>
      <c r="AB6" cm="1">
        <f t="array" ref="AB6">SUM(IF("X" = F6:AA6, 1, 0))</f>
        <v>18</v>
      </c>
      <c r="AC6" cm="1">
        <f t="array" ref="AC6">SUM(IF("?" = F6:AA6, 1, 0)) + AB6</f>
        <v>18</v>
      </c>
      <c r="AF6" t="b">
        <f t="shared" si="0"/>
        <v>0</v>
      </c>
      <c r="AG6" t="b">
        <f t="shared" si="0"/>
        <v>1</v>
      </c>
    </row>
    <row r="7" spans="1:33" x14ac:dyDescent="0.2">
      <c r="A7" t="s">
        <v>39</v>
      </c>
      <c r="B7">
        <v>15</v>
      </c>
      <c r="C7">
        <v>15</v>
      </c>
      <c r="F7" t="s">
        <v>53</v>
      </c>
      <c r="G7" t="s">
        <v>53</v>
      </c>
      <c r="K7" t="s">
        <v>53</v>
      </c>
      <c r="L7" t="s">
        <v>53</v>
      </c>
      <c r="M7" t="s">
        <v>53</v>
      </c>
      <c r="N7" t="s">
        <v>53</v>
      </c>
      <c r="O7" t="s">
        <v>53</v>
      </c>
      <c r="P7" t="s">
        <v>53</v>
      </c>
      <c r="Q7" t="s">
        <v>53</v>
      </c>
      <c r="R7" t="s">
        <v>53</v>
      </c>
      <c r="V7" t="s">
        <v>53</v>
      </c>
      <c r="W7" t="s">
        <v>53</v>
      </c>
      <c r="Y7" t="s">
        <v>53</v>
      </c>
      <c r="Z7" t="s">
        <v>53</v>
      </c>
      <c r="AA7" t="s">
        <v>53</v>
      </c>
      <c r="AB7" cm="1">
        <f t="array" ref="AB7">SUM(IF("X" = F7:AA7, 1, 0))</f>
        <v>15</v>
      </c>
      <c r="AC7" cm="1">
        <f t="array" ref="AC7">SUM(IF("?" = F7:AA7, 1, 0)) + AB7</f>
        <v>15</v>
      </c>
      <c r="AF7" t="b">
        <f t="shared" si="0"/>
        <v>1</v>
      </c>
      <c r="AG7" t="b">
        <f t="shared" si="0"/>
        <v>1</v>
      </c>
    </row>
    <row r="8" spans="1:33" x14ac:dyDescent="0.2">
      <c r="A8" t="s">
        <v>40</v>
      </c>
      <c r="B8">
        <v>14</v>
      </c>
      <c r="C8">
        <v>16</v>
      </c>
      <c r="F8" t="s">
        <v>53</v>
      </c>
      <c r="G8" t="s">
        <v>53</v>
      </c>
      <c r="J8" t="s">
        <v>53</v>
      </c>
      <c r="N8" t="s">
        <v>53</v>
      </c>
      <c r="O8" t="s">
        <v>53</v>
      </c>
      <c r="P8" t="s">
        <v>53</v>
      </c>
      <c r="Q8" t="s">
        <v>53</v>
      </c>
      <c r="R8" t="s">
        <v>53</v>
      </c>
      <c r="S8" t="s">
        <v>53</v>
      </c>
      <c r="U8" t="s">
        <v>53</v>
      </c>
      <c r="V8" t="s">
        <v>53</v>
      </c>
      <c r="W8" t="s">
        <v>53</v>
      </c>
      <c r="X8" t="s">
        <v>53</v>
      </c>
      <c r="Y8" t="s">
        <v>53</v>
      </c>
      <c r="Z8" t="s">
        <v>53</v>
      </c>
      <c r="AA8" t="s">
        <v>53</v>
      </c>
      <c r="AB8" cm="1">
        <f t="array" ref="AB8">SUM(IF("X" = F8:AA8, 1, 0))</f>
        <v>16</v>
      </c>
      <c r="AC8" cm="1">
        <f t="array" ref="AC8">SUM(IF("?" = F8:AA8, 1, 0)) + AB8</f>
        <v>16</v>
      </c>
      <c r="AF8" t="b">
        <f t="shared" si="0"/>
        <v>0</v>
      </c>
      <c r="AG8" t="b">
        <f t="shared" si="0"/>
        <v>1</v>
      </c>
    </row>
    <row r="9" spans="1:33" x14ac:dyDescent="0.2">
      <c r="A9" t="s">
        <v>41</v>
      </c>
      <c r="B9">
        <v>13</v>
      </c>
      <c r="C9">
        <v>13</v>
      </c>
      <c r="F9" t="s">
        <v>53</v>
      </c>
      <c r="G9" t="s">
        <v>53</v>
      </c>
      <c r="J9" t="s">
        <v>53</v>
      </c>
      <c r="K9" t="s">
        <v>53</v>
      </c>
      <c r="N9" t="s">
        <v>53</v>
      </c>
      <c r="O9" t="s">
        <v>53</v>
      </c>
      <c r="P9" t="s">
        <v>53</v>
      </c>
      <c r="Q9" t="s">
        <v>53</v>
      </c>
      <c r="R9" t="s">
        <v>53</v>
      </c>
      <c r="S9" t="s">
        <v>53</v>
      </c>
      <c r="T9" t="s">
        <v>53</v>
      </c>
      <c r="Y9" t="s">
        <v>53</v>
      </c>
      <c r="AA9" t="s">
        <v>53</v>
      </c>
      <c r="AB9" cm="1">
        <f t="array" ref="AB9">SUM(IF("X" = F9:AA9, 1, 0))</f>
        <v>13</v>
      </c>
      <c r="AC9" cm="1">
        <f t="array" ref="AC9">SUM(IF("?" = F9:AA9, 1, 0)) + AB9</f>
        <v>13</v>
      </c>
      <c r="AF9" t="b">
        <f t="shared" si="0"/>
        <v>1</v>
      </c>
      <c r="AG9" t="b">
        <f t="shared" si="0"/>
        <v>1</v>
      </c>
    </row>
    <row r="10" spans="1:33" x14ac:dyDescent="0.2">
      <c r="A10" t="s">
        <v>44</v>
      </c>
      <c r="B10">
        <v>19</v>
      </c>
      <c r="C10">
        <v>19</v>
      </c>
      <c r="F10" t="s">
        <v>53</v>
      </c>
      <c r="H10" t="s">
        <v>53</v>
      </c>
      <c r="I10" t="s">
        <v>53</v>
      </c>
      <c r="J10" t="s">
        <v>53</v>
      </c>
      <c r="K10" t="s">
        <v>53</v>
      </c>
      <c r="L10" t="s">
        <v>53</v>
      </c>
      <c r="M10" t="s">
        <v>53</v>
      </c>
      <c r="N10" t="s">
        <v>53</v>
      </c>
      <c r="O10" t="s">
        <v>53</v>
      </c>
      <c r="P10" t="s">
        <v>53</v>
      </c>
      <c r="R10" t="s">
        <v>53</v>
      </c>
      <c r="S10" t="s">
        <v>53</v>
      </c>
      <c r="T10" t="s">
        <v>53</v>
      </c>
      <c r="V10" t="s">
        <v>53</v>
      </c>
      <c r="W10" t="s">
        <v>53</v>
      </c>
      <c r="X10" t="s">
        <v>53</v>
      </c>
      <c r="Y10" t="s">
        <v>53</v>
      </c>
      <c r="Z10" t="s">
        <v>53</v>
      </c>
      <c r="AA10" t="s">
        <v>53</v>
      </c>
      <c r="AB10" cm="1">
        <f t="array" ref="AB10">SUM(IF("X" = F10:AA10, 1, 0))</f>
        <v>19</v>
      </c>
      <c r="AC10" cm="1">
        <f t="array" ref="AC10">SUM(IF("?" = F10:AA10, 1, 0)) + AB10</f>
        <v>19</v>
      </c>
      <c r="AF10" t="b">
        <f t="shared" si="0"/>
        <v>1</v>
      </c>
      <c r="AG10" t="b">
        <f t="shared" si="0"/>
        <v>1</v>
      </c>
    </row>
    <row r="11" spans="1:33" x14ac:dyDescent="0.2">
      <c r="A11" t="s">
        <v>46</v>
      </c>
      <c r="B11">
        <v>15</v>
      </c>
      <c r="C11">
        <v>15</v>
      </c>
      <c r="F11" t="s">
        <v>53</v>
      </c>
      <c r="H11" t="s">
        <v>53</v>
      </c>
      <c r="J11" t="s">
        <v>53</v>
      </c>
      <c r="K11" t="s">
        <v>53</v>
      </c>
      <c r="L11" t="s">
        <v>53</v>
      </c>
      <c r="M11" t="s">
        <v>53</v>
      </c>
      <c r="N11" t="s">
        <v>53</v>
      </c>
      <c r="O11" t="s">
        <v>53</v>
      </c>
      <c r="P11" t="s">
        <v>53</v>
      </c>
      <c r="Q11" t="s">
        <v>53</v>
      </c>
      <c r="R11" t="s">
        <v>53</v>
      </c>
      <c r="S11" t="s">
        <v>53</v>
      </c>
      <c r="T11" t="s">
        <v>53</v>
      </c>
      <c r="X11" t="s">
        <v>53</v>
      </c>
      <c r="AA11" t="s">
        <v>53</v>
      </c>
      <c r="AB11" cm="1">
        <f t="array" ref="AB11">SUM(IF("X" = F11:AA11, 1, 0))</f>
        <v>15</v>
      </c>
      <c r="AC11" cm="1">
        <f t="array" ref="AC11">SUM(IF("?" = F11:AA11, 1, 0)) + AB11</f>
        <v>15</v>
      </c>
      <c r="AF11" t="b">
        <f t="shared" si="0"/>
        <v>1</v>
      </c>
      <c r="AG11" t="b">
        <f t="shared" si="0"/>
        <v>1</v>
      </c>
    </row>
    <row r="12" spans="1:33" x14ac:dyDescent="0.2">
      <c r="A12" t="s">
        <v>48</v>
      </c>
      <c r="B12">
        <v>20</v>
      </c>
      <c r="C12">
        <v>20</v>
      </c>
      <c r="F12" t="s">
        <v>53</v>
      </c>
      <c r="G12" t="s">
        <v>53</v>
      </c>
      <c r="H12" t="s">
        <v>53</v>
      </c>
      <c r="J12" t="s">
        <v>53</v>
      </c>
      <c r="K12" t="s">
        <v>53</v>
      </c>
      <c r="L12" t="s">
        <v>53</v>
      </c>
      <c r="M12" t="s">
        <v>53</v>
      </c>
      <c r="N12" t="s">
        <v>53</v>
      </c>
      <c r="O12" t="s">
        <v>53</v>
      </c>
      <c r="P12" t="s">
        <v>53</v>
      </c>
      <c r="Q12" t="s">
        <v>53</v>
      </c>
      <c r="R12" t="s">
        <v>53</v>
      </c>
      <c r="T12" t="s">
        <v>53</v>
      </c>
      <c r="U12" t="s">
        <v>53</v>
      </c>
      <c r="V12" t="s">
        <v>53</v>
      </c>
      <c r="W12" t="s">
        <v>53</v>
      </c>
      <c r="X12" t="s">
        <v>53</v>
      </c>
      <c r="Y12" t="s">
        <v>53</v>
      </c>
      <c r="Z12" t="s">
        <v>53</v>
      </c>
      <c r="AA12" t="s">
        <v>53</v>
      </c>
      <c r="AB12" cm="1">
        <f t="array" ref="AB12">SUM(IF("X" = F12:AA12, 1, 0))</f>
        <v>20</v>
      </c>
      <c r="AC12" cm="1">
        <f t="array" ref="AC12">SUM(IF("?" = F12:AA12, 1, 0)) + AB12</f>
        <v>20</v>
      </c>
      <c r="AF12" t="b">
        <f t="shared" si="0"/>
        <v>1</v>
      </c>
      <c r="AG12" t="b">
        <f t="shared" si="0"/>
        <v>1</v>
      </c>
    </row>
    <row r="13" spans="1:33" x14ac:dyDescent="0.2">
      <c r="A13" t="s">
        <v>51</v>
      </c>
      <c r="B13">
        <v>19</v>
      </c>
      <c r="C13">
        <v>19</v>
      </c>
      <c r="F13" t="s">
        <v>53</v>
      </c>
      <c r="G13" t="s">
        <v>53</v>
      </c>
      <c r="I13" t="s">
        <v>53</v>
      </c>
      <c r="J13" t="s">
        <v>53</v>
      </c>
      <c r="L13" t="s">
        <v>53</v>
      </c>
      <c r="M13" t="s">
        <v>53</v>
      </c>
      <c r="N13" t="s">
        <v>53</v>
      </c>
      <c r="O13" t="s">
        <v>53</v>
      </c>
      <c r="P13" t="s">
        <v>53</v>
      </c>
      <c r="Q13" t="s">
        <v>53</v>
      </c>
      <c r="R13" t="s">
        <v>53</v>
      </c>
      <c r="S13" t="s">
        <v>53</v>
      </c>
      <c r="T13" t="s">
        <v>53</v>
      </c>
      <c r="U13" t="s">
        <v>53</v>
      </c>
      <c r="V13" t="s">
        <v>53</v>
      </c>
      <c r="W13" t="s">
        <v>53</v>
      </c>
      <c r="Y13" t="s">
        <v>53</v>
      </c>
      <c r="Z13" t="s">
        <v>53</v>
      </c>
      <c r="AA13" t="s">
        <v>53</v>
      </c>
      <c r="AB13" cm="1">
        <f t="array" ref="AB13">SUM(IF("X" = F13:AA13, 1, 0))</f>
        <v>19</v>
      </c>
      <c r="AC13" cm="1">
        <f t="array" ref="AC13">SUM(IF("?" = F13:AA13, 1, 0)) + AB13</f>
        <v>19</v>
      </c>
      <c r="AF13" t="b">
        <f t="shared" si="0"/>
        <v>1</v>
      </c>
      <c r="AG13" t="b">
        <f t="shared" si="0"/>
        <v>1</v>
      </c>
    </row>
    <row r="14" spans="1:33" x14ac:dyDescent="0.2">
      <c r="A14" t="s">
        <v>52</v>
      </c>
      <c r="B14">
        <v>14</v>
      </c>
      <c r="C14">
        <v>14</v>
      </c>
      <c r="F14" t="s">
        <v>53</v>
      </c>
      <c r="G14" t="s">
        <v>53</v>
      </c>
      <c r="K14" t="s">
        <v>53</v>
      </c>
      <c r="N14" t="s">
        <v>53</v>
      </c>
      <c r="O14" t="s">
        <v>53</v>
      </c>
      <c r="P14" t="s">
        <v>53</v>
      </c>
      <c r="Q14" t="s">
        <v>53</v>
      </c>
      <c r="R14" t="s">
        <v>53</v>
      </c>
      <c r="S14" t="s">
        <v>53</v>
      </c>
      <c r="T14" t="s">
        <v>53</v>
      </c>
      <c r="U14" t="s">
        <v>53</v>
      </c>
      <c r="W14" t="s">
        <v>53</v>
      </c>
      <c r="Z14" t="s">
        <v>53</v>
      </c>
      <c r="AA14" t="s">
        <v>53</v>
      </c>
      <c r="AB14" cm="1">
        <f t="array" ref="AB14">SUM(IF("X" = F14:AA14, 1, 0))</f>
        <v>14</v>
      </c>
      <c r="AC14" cm="1">
        <f t="array" ref="AC14">SUM(IF("?" = F14:AA14, 1, 0)) + AB14</f>
        <v>14</v>
      </c>
      <c r="AF14" t="b">
        <f t="shared" si="0"/>
        <v>1</v>
      </c>
      <c r="AG14" t="b">
        <f t="shared" si="0"/>
        <v>1</v>
      </c>
    </row>
    <row r="15" spans="1:33" x14ac:dyDescent="0.2">
      <c r="A15" t="s">
        <v>61</v>
      </c>
      <c r="B15">
        <v>18</v>
      </c>
      <c r="C15">
        <v>18</v>
      </c>
      <c r="F15" t="s">
        <v>53</v>
      </c>
      <c r="G15" t="s">
        <v>53</v>
      </c>
      <c r="I15" t="s">
        <v>53</v>
      </c>
      <c r="K15" t="s">
        <v>53</v>
      </c>
      <c r="L15" t="s">
        <v>53</v>
      </c>
      <c r="M15" t="s">
        <v>53</v>
      </c>
      <c r="N15" t="s">
        <v>53</v>
      </c>
      <c r="O15" t="s">
        <v>53</v>
      </c>
      <c r="P15" t="s">
        <v>53</v>
      </c>
      <c r="Q15" t="s">
        <v>53</v>
      </c>
      <c r="R15" t="s">
        <v>53</v>
      </c>
      <c r="S15" t="s">
        <v>53</v>
      </c>
      <c r="U15" t="s">
        <v>53</v>
      </c>
      <c r="V15" t="s">
        <v>53</v>
      </c>
      <c r="W15" t="s">
        <v>53</v>
      </c>
      <c r="X15" t="s">
        <v>53</v>
      </c>
      <c r="Y15" t="s">
        <v>53</v>
      </c>
      <c r="Z15" t="s">
        <v>53</v>
      </c>
      <c r="AB15" cm="1">
        <f t="array" ref="AB15">SUM(IF("X" = F15:AA15, 1, 0))</f>
        <v>18</v>
      </c>
      <c r="AC15" cm="1">
        <f t="array" ref="AC15">SUM(IF("?" = F15:AA15, 1, 0)) + AB15</f>
        <v>18</v>
      </c>
      <c r="AF15" t="b">
        <f t="shared" si="0"/>
        <v>1</v>
      </c>
      <c r="AG15" t="b">
        <f t="shared" si="0"/>
        <v>1</v>
      </c>
    </row>
    <row r="16" spans="1:33" x14ac:dyDescent="0.2">
      <c r="A16" t="s">
        <v>62</v>
      </c>
      <c r="B16">
        <v>17</v>
      </c>
      <c r="C16">
        <v>17</v>
      </c>
      <c r="F16" t="s">
        <v>53</v>
      </c>
      <c r="G16" t="s">
        <v>53</v>
      </c>
      <c r="H16" t="s">
        <v>53</v>
      </c>
      <c r="I16" t="s">
        <v>53</v>
      </c>
      <c r="L16" t="s">
        <v>53</v>
      </c>
      <c r="M16" t="s">
        <v>53</v>
      </c>
      <c r="N16" t="s">
        <v>53</v>
      </c>
      <c r="O16" t="s">
        <v>53</v>
      </c>
      <c r="P16" t="s">
        <v>53</v>
      </c>
      <c r="Q16" t="s">
        <v>53</v>
      </c>
      <c r="R16" t="s">
        <v>53</v>
      </c>
      <c r="U16" t="s">
        <v>53</v>
      </c>
      <c r="V16" t="s">
        <v>53</v>
      </c>
      <c r="W16" t="s">
        <v>53</v>
      </c>
      <c r="X16" t="s">
        <v>53</v>
      </c>
      <c r="Y16" t="s">
        <v>53</v>
      </c>
      <c r="Z16" t="s">
        <v>53</v>
      </c>
      <c r="AB16" cm="1">
        <f t="array" ref="AB16">SUM(IF("X" = F16:AA16, 1, 0))</f>
        <v>17</v>
      </c>
      <c r="AC16" cm="1">
        <f t="array" ref="AC16">SUM(IF("?" = F16:AA16, 1, 0)) + AB16</f>
        <v>17</v>
      </c>
      <c r="AF16" t="b">
        <f t="shared" si="0"/>
        <v>1</v>
      </c>
      <c r="AG16" t="b">
        <f t="shared" si="0"/>
        <v>1</v>
      </c>
    </row>
    <row r="17" spans="1:33" x14ac:dyDescent="0.2">
      <c r="A17" t="s">
        <v>63</v>
      </c>
      <c r="B17">
        <v>13</v>
      </c>
      <c r="C17">
        <v>13</v>
      </c>
      <c r="J17" t="s">
        <v>53</v>
      </c>
      <c r="N17" t="s">
        <v>53</v>
      </c>
      <c r="O17" t="s">
        <v>53</v>
      </c>
      <c r="P17" t="s">
        <v>53</v>
      </c>
      <c r="Q17" t="s">
        <v>53</v>
      </c>
      <c r="R17" t="s">
        <v>53</v>
      </c>
      <c r="T17" t="s">
        <v>53</v>
      </c>
      <c r="V17" t="s">
        <v>53</v>
      </c>
      <c r="W17" t="s">
        <v>53</v>
      </c>
      <c r="X17" t="s">
        <v>53</v>
      </c>
      <c r="Y17" t="s">
        <v>53</v>
      </c>
      <c r="Z17" t="s">
        <v>53</v>
      </c>
      <c r="AA17" t="s">
        <v>53</v>
      </c>
      <c r="AB17" cm="1">
        <f t="array" ref="AB17">SUM(IF("X" = F17:AA17, 1, 0))</f>
        <v>13</v>
      </c>
      <c r="AC17" cm="1">
        <f t="array" ref="AC17">SUM(IF("?" = F17:AA17, 1, 0)) + AB17</f>
        <v>13</v>
      </c>
      <c r="AF17" t="b">
        <f t="shared" si="0"/>
        <v>1</v>
      </c>
      <c r="AG17" t="b">
        <f t="shared" si="0"/>
        <v>1</v>
      </c>
    </row>
    <row r="19" spans="1:33" x14ac:dyDescent="0.2">
      <c r="A19">
        <f>COUNTA(A2:A17)</f>
        <v>16</v>
      </c>
    </row>
    <row r="21" spans="1:33" x14ac:dyDescent="0.2">
      <c r="F21" s="1">
        <v>0.84848484848484851</v>
      </c>
      <c r="G21" s="1">
        <v>0.96969696969696972</v>
      </c>
      <c r="H21" s="1">
        <v>0.45454545454545453</v>
      </c>
      <c r="I21" s="1">
        <v>0.45454545454545453</v>
      </c>
      <c r="J21" s="1">
        <v>0.60606060606060608</v>
      </c>
      <c r="K21" s="1">
        <v>0.63636363636363635</v>
      </c>
      <c r="L21" s="1">
        <v>0.42424242424242425</v>
      </c>
      <c r="M21" s="1">
        <v>0.66666666666666663</v>
      </c>
      <c r="N21" s="1">
        <v>0.81818181818181823</v>
      </c>
      <c r="O21" s="1">
        <v>0.42424242424242425</v>
      </c>
      <c r="P21" s="1">
        <v>0.78787878787878785</v>
      </c>
      <c r="Q21" s="1">
        <v>0.81818181818181823</v>
      </c>
      <c r="R21" s="1">
        <v>0.96969696969696972</v>
      </c>
      <c r="S21" s="1">
        <v>9.0909090909090912E-2</v>
      </c>
      <c r="T21" s="1">
        <v>0.96969696969696972</v>
      </c>
      <c r="U21" s="1">
        <v>0.90909090909090906</v>
      </c>
      <c r="V21" s="1">
        <v>0.54545454545454541</v>
      </c>
      <c r="W21" s="1">
        <v>0.81818181818181823</v>
      </c>
      <c r="X21" s="1">
        <v>0.27272727272727271</v>
      </c>
      <c r="Y21" s="1">
        <v>0.60606060606060608</v>
      </c>
      <c r="Z21" s="1">
        <v>0.39393939393939392</v>
      </c>
      <c r="AA21" s="1">
        <v>0.45454545454545453</v>
      </c>
    </row>
    <row r="22" spans="1:33" x14ac:dyDescent="0.2">
      <c r="H22" t="s">
        <v>53</v>
      </c>
      <c r="I22" t="s">
        <v>53</v>
      </c>
      <c r="L22" t="s">
        <v>53</v>
      </c>
      <c r="O22" t="s">
        <v>53</v>
      </c>
      <c r="S22" t="s">
        <v>53</v>
      </c>
      <c r="X22" t="s">
        <v>53</v>
      </c>
      <c r="Z22" t="s">
        <v>53</v>
      </c>
      <c r="AA22" t="s">
        <v>53</v>
      </c>
    </row>
    <row r="23" spans="1:33" x14ac:dyDescent="0.2">
      <c r="E23" t="s">
        <v>60</v>
      </c>
      <c r="F23" cm="1">
        <f t="array" ref="F23">SUM(IF("X"=F2:F17,1, 0))</f>
        <v>15</v>
      </c>
      <c r="G23" cm="1">
        <f t="array" ref="G23">SUM(IF("X"=G2:G17,1, 0))</f>
        <v>13</v>
      </c>
      <c r="H23" cm="1">
        <f t="array" ref="H23">SUM(IF("X"=H2:H17,1, 0))</f>
        <v>8</v>
      </c>
      <c r="I23" cm="1">
        <f t="array" ref="I23">SUM(IF("X"=I2:I17,1, 0))</f>
        <v>9</v>
      </c>
      <c r="J23" cm="1">
        <f t="array" ref="J23">SUM(IF("X"=J2:J17,1, 0))</f>
        <v>12</v>
      </c>
      <c r="K23" cm="1">
        <f t="array" ref="K23">SUM(IF("X"=K2:K17,1, 0))</f>
        <v>12</v>
      </c>
      <c r="L23" cm="1">
        <f t="array" ref="L23">SUM(IF("X"=L2:L17,1, 0))</f>
        <v>10</v>
      </c>
      <c r="M23" cm="1">
        <f t="array" ref="M23">SUM(IF("X"=M2:M17,1, 0))</f>
        <v>11</v>
      </c>
      <c r="N23" cm="1">
        <f t="array" ref="N23">SUM(IF("X"=N2:N17,1, 0))</f>
        <v>14</v>
      </c>
      <c r="O23" cm="1">
        <f t="array" ref="O23">SUM(IF("X"=O2:O17,1, 0))</f>
        <v>16</v>
      </c>
      <c r="P23" cm="1">
        <f t="array" ref="P23">SUM(IF("X"=P2:P17,1, 0))</f>
        <v>16</v>
      </c>
      <c r="Q23" cm="1">
        <f t="array" ref="Q23">SUM(IF("X"=Q2:Q17,1, 0))</f>
        <v>15</v>
      </c>
      <c r="R23" cm="1">
        <f t="array" ref="R23">SUM(IF("X"=R2:R17,1, 0))</f>
        <v>15</v>
      </c>
      <c r="S23" cm="1">
        <f t="array" ref="S23">SUM(IF("X"=S2:S17,1, 0))</f>
        <v>11</v>
      </c>
      <c r="T23" cm="1">
        <f t="array" ref="T23">SUM(IF("X"=T2:T17,1, 0))</f>
        <v>9</v>
      </c>
      <c r="U23" cm="1">
        <f t="array" ref="U23">SUM(IF("X"=U2:U17,1, 0))</f>
        <v>9</v>
      </c>
      <c r="V23" cm="1">
        <f t="array" ref="V23">SUM(IF("X"=V2:V17,1, 0))</f>
        <v>12</v>
      </c>
      <c r="W23" cm="1">
        <f t="array" ref="W23">SUM(IF("X"=W2:W17,1, 0))</f>
        <v>14</v>
      </c>
      <c r="X23" cm="1">
        <f t="array" ref="X23">SUM(IF("X"=X2:X17,1, 0))</f>
        <v>10</v>
      </c>
      <c r="Y23" cm="1">
        <f t="array" ref="Y23">SUM(IF("X"=Y2:Y17,1, 0))</f>
        <v>14</v>
      </c>
      <c r="Z23" cm="1">
        <f t="array" ref="Z23">SUM(IF("X"=Z2:Z17,1, 0))</f>
        <v>14</v>
      </c>
      <c r="AA23" cm="1">
        <f t="array" ref="AA23">SUM(IF("X"=AA2:AA17,1, 0))</f>
        <v>14</v>
      </c>
    </row>
    <row r="24" spans="1:33" x14ac:dyDescent="0.2">
      <c r="F24" s="1">
        <f>F23/$A$19</f>
        <v>0.9375</v>
      </c>
      <c r="G24" s="1">
        <f t="shared" ref="G24:AA24" si="1">G23/$A$19</f>
        <v>0.8125</v>
      </c>
      <c r="H24" s="1">
        <f t="shared" si="1"/>
        <v>0.5</v>
      </c>
      <c r="I24" s="1">
        <f t="shared" si="1"/>
        <v>0.5625</v>
      </c>
      <c r="J24" s="1">
        <f t="shared" si="1"/>
        <v>0.75</v>
      </c>
      <c r="K24" s="1">
        <f t="shared" si="1"/>
        <v>0.75</v>
      </c>
      <c r="L24" s="1">
        <f t="shared" si="1"/>
        <v>0.625</v>
      </c>
      <c r="M24" s="1">
        <f t="shared" si="1"/>
        <v>0.6875</v>
      </c>
      <c r="N24" s="1">
        <f t="shared" si="1"/>
        <v>0.875</v>
      </c>
      <c r="O24" s="1">
        <f t="shared" si="1"/>
        <v>1</v>
      </c>
      <c r="P24" s="1">
        <f t="shared" si="1"/>
        <v>1</v>
      </c>
      <c r="Q24" s="1">
        <f t="shared" si="1"/>
        <v>0.9375</v>
      </c>
      <c r="R24" s="1">
        <f t="shared" si="1"/>
        <v>0.9375</v>
      </c>
      <c r="S24" s="1">
        <f t="shared" si="1"/>
        <v>0.6875</v>
      </c>
      <c r="T24" s="1">
        <f t="shared" si="1"/>
        <v>0.5625</v>
      </c>
      <c r="U24" s="1">
        <f t="shared" si="1"/>
        <v>0.5625</v>
      </c>
      <c r="V24" s="1">
        <f t="shared" si="1"/>
        <v>0.75</v>
      </c>
      <c r="W24" s="1">
        <f t="shared" si="1"/>
        <v>0.875</v>
      </c>
      <c r="X24" s="1">
        <f t="shared" si="1"/>
        <v>0.625</v>
      </c>
      <c r="Y24" s="1">
        <f t="shared" si="1"/>
        <v>0.875</v>
      </c>
      <c r="Z24" s="1">
        <f t="shared" si="1"/>
        <v>0.875</v>
      </c>
      <c r="AA24" s="1">
        <f t="shared" si="1"/>
        <v>0.875</v>
      </c>
    </row>
    <row r="25" spans="1:33" x14ac:dyDescent="0.2">
      <c r="F25" s="1">
        <v>0.90476190476190477</v>
      </c>
      <c r="G25" s="1">
        <v>0.7142857142857143</v>
      </c>
      <c r="H25" s="1">
        <v>0.52380952380952384</v>
      </c>
      <c r="I25" s="1">
        <v>0.52380952380952384</v>
      </c>
      <c r="J25" s="1">
        <v>0.66666666666666663</v>
      </c>
      <c r="K25" s="1">
        <v>0.7142857142857143</v>
      </c>
      <c r="L25" s="1">
        <v>0.61904761904761907</v>
      </c>
      <c r="M25" s="1">
        <v>0.66666666666666663</v>
      </c>
      <c r="N25" s="1">
        <v>0.7142857142857143</v>
      </c>
      <c r="O25" s="1">
        <v>0.8571428571428571</v>
      </c>
      <c r="P25" s="1">
        <v>1</v>
      </c>
      <c r="Q25" s="1">
        <v>0.80952380952380953</v>
      </c>
      <c r="R25" s="1">
        <v>0.95238095238095233</v>
      </c>
      <c r="S25" s="1">
        <v>0.61904761904761907</v>
      </c>
      <c r="T25" s="1">
        <v>0.52380952380952384</v>
      </c>
      <c r="U25" s="1">
        <v>0.5714285714285714</v>
      </c>
      <c r="V25" s="1">
        <v>0.66666666666666663</v>
      </c>
      <c r="W25" s="1">
        <v>0.76190476190476186</v>
      </c>
      <c r="X25" s="1">
        <v>0.5714285714285714</v>
      </c>
      <c r="Y25" s="1">
        <v>0.7142857142857143</v>
      </c>
      <c r="Z25" s="1">
        <v>0.76190476190476186</v>
      </c>
      <c r="AA25" s="1">
        <v>0.76190476190476186</v>
      </c>
    </row>
    <row r="26" spans="1:33" x14ac:dyDescent="0.2">
      <c r="A26" t="s">
        <v>58</v>
      </c>
      <c r="B26">
        <v>17</v>
      </c>
      <c r="C26">
        <v>21</v>
      </c>
      <c r="F26" t="s">
        <v>53</v>
      </c>
      <c r="G26" t="s">
        <v>53</v>
      </c>
      <c r="H26" t="s">
        <v>43</v>
      </c>
      <c r="I26" t="s">
        <v>53</v>
      </c>
      <c r="J26" t="s">
        <v>53</v>
      </c>
      <c r="K26" t="s">
        <v>53</v>
      </c>
      <c r="L26" t="s">
        <v>53</v>
      </c>
      <c r="M26" t="s">
        <v>53</v>
      </c>
      <c r="N26" t="s">
        <v>53</v>
      </c>
      <c r="O26" t="s">
        <v>53</v>
      </c>
      <c r="P26" t="s">
        <v>53</v>
      </c>
      <c r="R26" t="s">
        <v>53</v>
      </c>
      <c r="S26" t="s">
        <v>43</v>
      </c>
      <c r="T26" t="s">
        <v>53</v>
      </c>
      <c r="U26" t="s">
        <v>53</v>
      </c>
      <c r="V26" t="s">
        <v>53</v>
      </c>
      <c r="W26" t="s">
        <v>53</v>
      </c>
      <c r="X26" t="s">
        <v>53</v>
      </c>
      <c r="Y26" t="s">
        <v>53</v>
      </c>
      <c r="Z26" t="s">
        <v>53</v>
      </c>
      <c r="AA26" t="s">
        <v>53</v>
      </c>
      <c r="AB26" cm="1">
        <f t="array" ref="AB26">SUM(IF("X" = F26:AA26, 1, 0))</f>
        <v>19</v>
      </c>
      <c r="AC26" cm="1">
        <f t="array" ref="AC26">SUM(IF("?" = F26:AA26, 1, 0)) + AB26</f>
        <v>21</v>
      </c>
    </row>
    <row r="29" spans="1:33" x14ac:dyDescent="0.2">
      <c r="F29" s="1">
        <f>F24-F21</f>
        <v>8.9015151515151492E-2</v>
      </c>
      <c r="G29" s="2">
        <f t="shared" ref="G29:AA29" si="2">G24-G21</f>
        <v>-0.15719696969696972</v>
      </c>
      <c r="H29" s="1">
        <f t="shared" si="2"/>
        <v>4.545454545454547E-2</v>
      </c>
      <c r="I29" s="1">
        <f t="shared" si="2"/>
        <v>0.10795454545454547</v>
      </c>
      <c r="J29" s="1">
        <f t="shared" si="2"/>
        <v>0.14393939393939392</v>
      </c>
      <c r="K29" s="1">
        <f t="shared" si="2"/>
        <v>0.11363636363636365</v>
      </c>
      <c r="L29" s="1">
        <f t="shared" si="2"/>
        <v>0.20075757575757575</v>
      </c>
      <c r="M29" s="1">
        <f t="shared" si="2"/>
        <v>2.083333333333337E-2</v>
      </c>
      <c r="N29" s="1">
        <f t="shared" si="2"/>
        <v>5.6818181818181768E-2</v>
      </c>
      <c r="O29" s="1">
        <f t="shared" si="2"/>
        <v>0.57575757575757569</v>
      </c>
      <c r="P29" s="1">
        <f t="shared" si="2"/>
        <v>0.21212121212121215</v>
      </c>
      <c r="Q29" s="1">
        <f t="shared" si="2"/>
        <v>0.11931818181818177</v>
      </c>
      <c r="R29" s="2">
        <f t="shared" si="2"/>
        <v>-3.2196969696969724E-2</v>
      </c>
      <c r="S29" s="1">
        <f t="shared" si="2"/>
        <v>0.59659090909090906</v>
      </c>
      <c r="T29" s="2">
        <f t="shared" si="2"/>
        <v>-0.40719696969696972</v>
      </c>
      <c r="U29" s="2">
        <f t="shared" si="2"/>
        <v>-0.34659090909090906</v>
      </c>
      <c r="V29" s="1">
        <f t="shared" si="2"/>
        <v>0.20454545454545459</v>
      </c>
      <c r="W29" s="1">
        <f t="shared" si="2"/>
        <v>5.6818181818181768E-2</v>
      </c>
      <c r="X29" s="1">
        <f t="shared" si="2"/>
        <v>0.35227272727272729</v>
      </c>
      <c r="Y29" s="1">
        <f t="shared" si="2"/>
        <v>0.26893939393939392</v>
      </c>
      <c r="Z29" s="1">
        <f t="shared" si="2"/>
        <v>0.48106060606060608</v>
      </c>
      <c r="AA29" s="1">
        <f t="shared" si="2"/>
        <v>0.42045454545454547</v>
      </c>
    </row>
    <row r="32" spans="1:33" x14ac:dyDescent="0.2">
      <c r="F32" s="6">
        <f>F24/F21</f>
        <v>1.1049107142857142</v>
      </c>
      <c r="G32" s="6">
        <f t="shared" ref="G32:AA32" si="3">G24/G21</f>
        <v>0.837890625</v>
      </c>
      <c r="H32" s="6">
        <f t="shared" si="3"/>
        <v>1.1000000000000001</v>
      </c>
      <c r="I32" s="6">
        <f t="shared" si="3"/>
        <v>1.2375</v>
      </c>
      <c r="J32" s="6">
        <f t="shared" si="3"/>
        <v>1.2375</v>
      </c>
      <c r="K32" s="6">
        <f t="shared" si="3"/>
        <v>1.1785714285714286</v>
      </c>
      <c r="L32" s="6">
        <f t="shared" si="3"/>
        <v>1.4732142857142856</v>
      </c>
      <c r="M32" s="6">
        <f t="shared" si="3"/>
        <v>1.03125</v>
      </c>
      <c r="N32" s="6">
        <f t="shared" si="3"/>
        <v>1.0694444444444444</v>
      </c>
      <c r="O32" s="6">
        <f t="shared" si="3"/>
        <v>2.3571428571428572</v>
      </c>
      <c r="P32" s="6">
        <f t="shared" si="3"/>
        <v>1.2692307692307694</v>
      </c>
      <c r="Q32" s="6">
        <f t="shared" si="3"/>
        <v>1.1458333333333333</v>
      </c>
      <c r="R32" s="6">
        <f t="shared" si="3"/>
        <v>0.966796875</v>
      </c>
      <c r="S32" s="6">
        <f t="shared" si="3"/>
        <v>7.5625</v>
      </c>
      <c r="T32" s="6">
        <f t="shared" si="3"/>
        <v>0.580078125</v>
      </c>
      <c r="U32" s="6">
        <f t="shared" si="3"/>
        <v>0.61875000000000002</v>
      </c>
      <c r="V32" s="6">
        <f t="shared" si="3"/>
        <v>1.375</v>
      </c>
      <c r="W32" s="6">
        <f t="shared" si="3"/>
        <v>1.0694444444444444</v>
      </c>
      <c r="X32" s="6">
        <f t="shared" si="3"/>
        <v>2.291666666666667</v>
      </c>
      <c r="Y32" s="6">
        <f t="shared" si="3"/>
        <v>1.4437499999999999</v>
      </c>
      <c r="Z32" s="6">
        <f t="shared" si="3"/>
        <v>2.2211538461538463</v>
      </c>
      <c r="AA32" s="6">
        <f t="shared" si="3"/>
        <v>1.925</v>
      </c>
      <c r="AC32" s="6">
        <f>PRODUCT(F32:AA32)</f>
        <v>558.86338559981505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66B39-6CA1-9148-BD13-ED47CB753998}">
  <dimension ref="A1:B22"/>
  <sheetViews>
    <sheetView workbookViewId="0">
      <selection activeCell="B5" sqref="B5"/>
    </sheetView>
  </sheetViews>
  <sheetFormatPr baseColWidth="10" defaultRowHeight="19" x14ac:dyDescent="0.25"/>
  <cols>
    <col min="1" max="1" width="10.83203125" style="5"/>
    <col min="2" max="2" width="68.6640625" style="5" bestFit="1" customWidth="1"/>
    <col min="3" max="16384" width="10.83203125" style="5"/>
  </cols>
  <sheetData>
    <row r="1" spans="1:2" x14ac:dyDescent="0.25">
      <c r="A1" s="3">
        <v>1</v>
      </c>
      <c r="B1" s="5" t="s">
        <v>83</v>
      </c>
    </row>
    <row r="2" spans="1:2" x14ac:dyDescent="0.25">
      <c r="A2" s="3">
        <v>2</v>
      </c>
      <c r="B2" s="5" t="s">
        <v>64</v>
      </c>
    </row>
    <row r="3" spans="1:2" x14ac:dyDescent="0.25">
      <c r="A3" s="3">
        <v>3</v>
      </c>
      <c r="B3" s="5" t="s">
        <v>65</v>
      </c>
    </row>
    <row r="4" spans="1:2" x14ac:dyDescent="0.25">
      <c r="A4" s="3">
        <v>4</v>
      </c>
      <c r="B4" s="5" t="s">
        <v>66</v>
      </c>
    </row>
    <row r="5" spans="1:2" x14ac:dyDescent="0.25">
      <c r="A5" s="3">
        <v>5</v>
      </c>
      <c r="B5" s="5" t="s">
        <v>84</v>
      </c>
    </row>
    <row r="6" spans="1:2" x14ac:dyDescent="0.25">
      <c r="A6" s="3">
        <v>6</v>
      </c>
      <c r="B6" s="5" t="s">
        <v>67</v>
      </c>
    </row>
    <row r="7" spans="1:2" x14ac:dyDescent="0.25">
      <c r="A7" s="3">
        <v>7</v>
      </c>
      <c r="B7" s="5" t="s">
        <v>68</v>
      </c>
    </row>
    <row r="8" spans="1:2" x14ac:dyDescent="0.25">
      <c r="A8" s="3">
        <v>8</v>
      </c>
      <c r="B8" s="5" t="s">
        <v>69</v>
      </c>
    </row>
    <row r="9" spans="1:2" x14ac:dyDescent="0.25">
      <c r="A9" s="3">
        <v>9</v>
      </c>
      <c r="B9" s="5" t="s">
        <v>70</v>
      </c>
    </row>
    <row r="10" spans="1:2" x14ac:dyDescent="0.25">
      <c r="A10" s="3">
        <v>10</v>
      </c>
      <c r="B10" s="5" t="s">
        <v>71</v>
      </c>
    </row>
    <row r="11" spans="1:2" x14ac:dyDescent="0.25">
      <c r="A11" s="3">
        <v>11</v>
      </c>
      <c r="B11" s="5" t="s">
        <v>85</v>
      </c>
    </row>
    <row r="12" spans="1:2" x14ac:dyDescent="0.25">
      <c r="A12" s="3">
        <v>12</v>
      </c>
      <c r="B12" s="5" t="s">
        <v>72</v>
      </c>
    </row>
    <row r="13" spans="1:2" x14ac:dyDescent="0.25">
      <c r="A13" s="3">
        <v>13</v>
      </c>
      <c r="B13" s="5" t="s">
        <v>73</v>
      </c>
    </row>
    <row r="14" spans="1:2" x14ac:dyDescent="0.25">
      <c r="A14" s="3">
        <v>14</v>
      </c>
      <c r="B14" s="5" t="s">
        <v>74</v>
      </c>
    </row>
    <row r="15" spans="1:2" x14ac:dyDescent="0.25">
      <c r="A15" s="3">
        <v>15</v>
      </c>
      <c r="B15" s="5" t="s">
        <v>75</v>
      </c>
    </row>
    <row r="16" spans="1:2" x14ac:dyDescent="0.25">
      <c r="A16" s="3">
        <v>16</v>
      </c>
      <c r="B16" s="5" t="s">
        <v>76</v>
      </c>
    </row>
    <row r="17" spans="1:2" x14ac:dyDescent="0.25">
      <c r="A17" s="3">
        <v>17</v>
      </c>
      <c r="B17" s="5" t="s">
        <v>77</v>
      </c>
    </row>
    <row r="18" spans="1:2" x14ac:dyDescent="0.25">
      <c r="A18" s="3">
        <v>18</v>
      </c>
      <c r="B18" s="5" t="s">
        <v>78</v>
      </c>
    </row>
    <row r="19" spans="1:2" x14ac:dyDescent="0.25">
      <c r="A19" s="3">
        <v>19</v>
      </c>
      <c r="B19" s="5" t="s">
        <v>79</v>
      </c>
    </row>
    <row r="20" spans="1:2" x14ac:dyDescent="0.25">
      <c r="A20" s="3">
        <v>20</v>
      </c>
      <c r="B20" s="5" t="s">
        <v>80</v>
      </c>
    </row>
    <row r="21" spans="1:2" x14ac:dyDescent="0.25">
      <c r="A21" s="3">
        <v>21</v>
      </c>
      <c r="B21" s="5" t="s">
        <v>81</v>
      </c>
    </row>
    <row r="22" spans="1:2" x14ac:dyDescent="0.25">
      <c r="A22" s="3">
        <v>22</v>
      </c>
      <c r="B22" s="5" t="s">
        <v>82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9E852-C477-D84C-ADD0-0C7FAD64FFD0}">
  <dimension ref="A1:B17"/>
  <sheetViews>
    <sheetView workbookViewId="0">
      <selection activeCell="B17" sqref="B17"/>
    </sheetView>
  </sheetViews>
  <sheetFormatPr baseColWidth="10" defaultRowHeight="18" x14ac:dyDescent="0.2"/>
  <cols>
    <col min="1" max="1" width="10.83203125" style="11"/>
    <col min="2" max="2" width="111.5" style="11" bestFit="1" customWidth="1"/>
    <col min="3" max="16384" width="10.83203125" style="11"/>
  </cols>
  <sheetData>
    <row r="1" spans="1:2" x14ac:dyDescent="0.2">
      <c r="A1" s="11">
        <v>1</v>
      </c>
      <c r="B1" s="12" t="s">
        <v>87</v>
      </c>
    </row>
    <row r="2" spans="1:2" x14ac:dyDescent="0.2">
      <c r="A2" s="11">
        <v>2</v>
      </c>
      <c r="B2" s="13" t="s">
        <v>88</v>
      </c>
    </row>
    <row r="3" spans="1:2" x14ac:dyDescent="0.2">
      <c r="A3" s="11">
        <v>3</v>
      </c>
      <c r="B3" s="13" t="s">
        <v>89</v>
      </c>
    </row>
    <row r="4" spans="1:2" x14ac:dyDescent="0.2">
      <c r="A4" s="11">
        <v>4</v>
      </c>
      <c r="B4" s="13" t="s">
        <v>90</v>
      </c>
    </row>
    <row r="5" spans="1:2" x14ac:dyDescent="0.2">
      <c r="A5" s="11">
        <v>5</v>
      </c>
      <c r="B5" s="13" t="s">
        <v>91</v>
      </c>
    </row>
    <row r="6" spans="1:2" x14ac:dyDescent="0.2">
      <c r="A6" s="11">
        <v>6</v>
      </c>
      <c r="B6" s="13" t="s">
        <v>92</v>
      </c>
    </row>
    <row r="7" spans="1:2" x14ac:dyDescent="0.2">
      <c r="A7" s="11">
        <v>7</v>
      </c>
      <c r="B7" s="13" t="s">
        <v>93</v>
      </c>
    </row>
    <row r="8" spans="1:2" x14ac:dyDescent="0.2">
      <c r="A8" s="11">
        <v>8</v>
      </c>
      <c r="B8" s="13" t="s">
        <v>94</v>
      </c>
    </row>
    <row r="9" spans="1:2" x14ac:dyDescent="0.2">
      <c r="A9" s="11">
        <v>9</v>
      </c>
      <c r="B9" s="14" t="s">
        <v>95</v>
      </c>
    </row>
    <row r="10" spans="1:2" x14ac:dyDescent="0.2">
      <c r="A10" s="11">
        <v>10</v>
      </c>
      <c r="B10" s="13" t="s">
        <v>96</v>
      </c>
    </row>
    <row r="11" spans="1:2" x14ac:dyDescent="0.2">
      <c r="A11" s="11">
        <v>11</v>
      </c>
      <c r="B11" s="13" t="s">
        <v>97</v>
      </c>
    </row>
    <row r="12" spans="1:2" x14ac:dyDescent="0.2">
      <c r="A12" s="11">
        <v>12</v>
      </c>
      <c r="B12" s="13" t="s">
        <v>98</v>
      </c>
    </row>
    <row r="13" spans="1:2" x14ac:dyDescent="0.2">
      <c r="A13" s="11">
        <v>13</v>
      </c>
      <c r="B13" s="13" t="s">
        <v>99</v>
      </c>
    </row>
    <row r="14" spans="1:2" x14ac:dyDescent="0.2">
      <c r="A14" s="11">
        <v>14</v>
      </c>
      <c r="B14" s="13" t="s">
        <v>100</v>
      </c>
    </row>
    <row r="15" spans="1:2" x14ac:dyDescent="0.2">
      <c r="A15" s="11">
        <v>15</v>
      </c>
      <c r="B15" s="13" t="s">
        <v>101</v>
      </c>
    </row>
    <row r="16" spans="1:2" x14ac:dyDescent="0.2">
      <c r="A16" s="11">
        <v>16</v>
      </c>
      <c r="B16" s="13" t="s">
        <v>102</v>
      </c>
    </row>
    <row r="17" spans="1:2" x14ac:dyDescent="0.2">
      <c r="A17" s="11">
        <v>17</v>
      </c>
      <c r="B17" s="13" t="s">
        <v>112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BEBF-2D4C-3A42-B372-C666C3A4B537}">
  <dimension ref="A1:X43"/>
  <sheetViews>
    <sheetView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D19" sqref="D19:T19"/>
    </sheetView>
  </sheetViews>
  <sheetFormatPr baseColWidth="10" defaultRowHeight="16" x14ac:dyDescent="0.2"/>
  <cols>
    <col min="1" max="1" width="13.83203125" bestFit="1" customWidth="1"/>
    <col min="2" max="2" width="11.33203125" bestFit="1" customWidth="1"/>
    <col min="3" max="3" width="11.6640625" bestFit="1" customWidth="1"/>
    <col min="12" max="12" width="10.83203125" style="10"/>
  </cols>
  <sheetData>
    <row r="1" spans="1:24" s="3" customFormat="1" ht="19" x14ac:dyDescent="0.25">
      <c r="A1" s="3" t="s">
        <v>0</v>
      </c>
      <c r="B1" s="3" t="s">
        <v>1</v>
      </c>
      <c r="C1" s="3" t="s">
        <v>2</v>
      </c>
      <c r="D1" s="4">
        <v>1</v>
      </c>
      <c r="E1" s="4">
        <v>2</v>
      </c>
      <c r="F1" s="4">
        <v>3</v>
      </c>
      <c r="G1" s="4">
        <v>4</v>
      </c>
      <c r="H1" s="4">
        <v>5</v>
      </c>
      <c r="I1" s="4">
        <v>6</v>
      </c>
      <c r="J1" s="4">
        <v>7</v>
      </c>
      <c r="K1" s="4">
        <v>8</v>
      </c>
      <c r="L1" s="4">
        <v>9</v>
      </c>
      <c r="M1" s="4">
        <v>10</v>
      </c>
      <c r="N1" s="4">
        <v>11</v>
      </c>
      <c r="O1" s="4">
        <v>12</v>
      </c>
      <c r="P1" s="4">
        <v>13</v>
      </c>
      <c r="Q1" s="4">
        <v>14</v>
      </c>
      <c r="R1" s="4">
        <v>15</v>
      </c>
      <c r="S1" s="4">
        <v>16</v>
      </c>
      <c r="T1" s="4">
        <v>17</v>
      </c>
      <c r="U1" s="4"/>
      <c r="V1" s="3" t="s">
        <v>55</v>
      </c>
      <c r="W1" s="3" t="s">
        <v>56</v>
      </c>
    </row>
    <row r="2" spans="1:24" x14ac:dyDescent="0.2">
      <c r="A2" t="s">
        <v>34</v>
      </c>
      <c r="B2">
        <v>21</v>
      </c>
      <c r="C2">
        <v>21</v>
      </c>
      <c r="D2" t="s">
        <v>53</v>
      </c>
      <c r="E2" t="s">
        <v>53</v>
      </c>
      <c r="F2" t="s">
        <v>53</v>
      </c>
      <c r="G2" t="s">
        <v>53</v>
      </c>
      <c r="H2" t="s">
        <v>53</v>
      </c>
      <c r="I2" t="s">
        <v>53</v>
      </c>
      <c r="J2" t="s">
        <v>53</v>
      </c>
      <c r="K2" t="s">
        <v>53</v>
      </c>
      <c r="L2" s="10" t="s">
        <v>53</v>
      </c>
      <c r="M2" t="s">
        <v>53</v>
      </c>
      <c r="N2" t="s">
        <v>53</v>
      </c>
      <c r="O2" t="s">
        <v>53</v>
      </c>
      <c r="P2" t="s">
        <v>53</v>
      </c>
      <c r="Q2" t="s">
        <v>53</v>
      </c>
      <c r="R2" t="s">
        <v>53</v>
      </c>
      <c r="S2" t="s">
        <v>53</v>
      </c>
      <c r="T2" t="s">
        <v>53</v>
      </c>
      <c r="V2" cm="1">
        <f t="array" ref="V2">SUM(IF("X" = D2:U2, 1, 0))</f>
        <v>17</v>
      </c>
      <c r="W2" cm="1">
        <f t="array" ref="W2">SUM(IF("?" = D2:U2, 1, 0)) + V2</f>
        <v>17</v>
      </c>
      <c r="X2" s="15">
        <f>W2/17</f>
        <v>1</v>
      </c>
    </row>
    <row r="3" spans="1:24" x14ac:dyDescent="0.2">
      <c r="A3" t="s">
        <v>35</v>
      </c>
      <c r="B3">
        <v>19</v>
      </c>
      <c r="C3">
        <v>20</v>
      </c>
      <c r="D3" t="s">
        <v>53</v>
      </c>
      <c r="E3" t="s">
        <v>53</v>
      </c>
      <c r="F3" t="s">
        <v>53</v>
      </c>
      <c r="G3" t="s">
        <v>53</v>
      </c>
      <c r="H3" t="s">
        <v>53</v>
      </c>
      <c r="I3" t="s">
        <v>53</v>
      </c>
      <c r="J3" t="s">
        <v>53</v>
      </c>
      <c r="K3" t="s">
        <v>53</v>
      </c>
      <c r="L3" s="10" t="s">
        <v>53</v>
      </c>
      <c r="M3" t="s">
        <v>53</v>
      </c>
      <c r="N3" t="s">
        <v>53</v>
      </c>
      <c r="O3" t="s">
        <v>53</v>
      </c>
      <c r="P3" t="s">
        <v>53</v>
      </c>
      <c r="Q3" t="s">
        <v>53</v>
      </c>
      <c r="S3" t="s">
        <v>53</v>
      </c>
      <c r="T3" t="s">
        <v>53</v>
      </c>
      <c r="V3" cm="1">
        <f t="array" ref="V3">SUM(IF("X" = D3:U3, 1, 0))</f>
        <v>16</v>
      </c>
      <c r="W3" cm="1">
        <f t="array" ref="W3">SUM(IF("?" = D3:U3, 1, 0)) + V3</f>
        <v>16</v>
      </c>
      <c r="X3" s="15">
        <f t="shared" ref="X3:X27" si="0">W3/17</f>
        <v>0.94117647058823528</v>
      </c>
    </row>
    <row r="4" spans="1:24" x14ac:dyDescent="0.2">
      <c r="A4" t="s">
        <v>36</v>
      </c>
      <c r="B4">
        <v>18</v>
      </c>
      <c r="C4">
        <v>18</v>
      </c>
      <c r="D4" t="s">
        <v>53</v>
      </c>
      <c r="E4" t="s">
        <v>53</v>
      </c>
      <c r="F4" t="s">
        <v>53</v>
      </c>
      <c r="G4" t="s">
        <v>53</v>
      </c>
      <c r="H4" t="s">
        <v>53</v>
      </c>
      <c r="I4" t="s">
        <v>53</v>
      </c>
      <c r="J4" t="s">
        <v>53</v>
      </c>
      <c r="K4" t="s">
        <v>53</v>
      </c>
      <c r="L4" s="10" t="s">
        <v>53</v>
      </c>
      <c r="M4" t="s">
        <v>53</v>
      </c>
      <c r="N4" t="s">
        <v>53</v>
      </c>
      <c r="P4" t="s">
        <v>53</v>
      </c>
      <c r="Q4" t="s">
        <v>53</v>
      </c>
      <c r="R4" t="s">
        <v>53</v>
      </c>
      <c r="T4" t="s">
        <v>53</v>
      </c>
      <c r="V4" cm="1">
        <f t="array" ref="V4">SUM(IF("X" = D4:U4, 1, 0))</f>
        <v>15</v>
      </c>
      <c r="W4" cm="1">
        <f t="array" ref="W4">SUM(IF("?" = D4:U4, 1, 0)) + V4</f>
        <v>15</v>
      </c>
      <c r="X4" s="15">
        <f t="shared" si="0"/>
        <v>0.88235294117647056</v>
      </c>
    </row>
    <row r="5" spans="1:24" x14ac:dyDescent="0.2">
      <c r="A5" t="s">
        <v>37</v>
      </c>
      <c r="B5">
        <v>17</v>
      </c>
      <c r="C5">
        <v>17</v>
      </c>
      <c r="D5" t="s">
        <v>53</v>
      </c>
      <c r="E5" t="s">
        <v>53</v>
      </c>
      <c r="F5" t="s">
        <v>53</v>
      </c>
      <c r="G5" t="s">
        <v>53</v>
      </c>
      <c r="H5" t="s">
        <v>53</v>
      </c>
      <c r="J5" t="s">
        <v>53</v>
      </c>
      <c r="L5" s="10" t="s">
        <v>53</v>
      </c>
      <c r="M5" t="s">
        <v>53</v>
      </c>
      <c r="O5" t="s">
        <v>53</v>
      </c>
      <c r="P5" t="s">
        <v>53</v>
      </c>
      <c r="Q5" t="s">
        <v>53</v>
      </c>
      <c r="R5" t="s">
        <v>53</v>
      </c>
      <c r="S5" t="s">
        <v>53</v>
      </c>
      <c r="T5" t="s">
        <v>53</v>
      </c>
      <c r="V5" cm="1">
        <f t="array" ref="V5">SUM(IF("X" = D5:U5, 1, 0))</f>
        <v>14</v>
      </c>
      <c r="W5" cm="1">
        <f t="array" ref="W5">SUM(IF("?" = D5:U5, 1, 0)) + V5</f>
        <v>14</v>
      </c>
      <c r="X5" s="15">
        <f t="shared" si="0"/>
        <v>0.82352941176470584</v>
      </c>
    </row>
    <row r="6" spans="1:24" x14ac:dyDescent="0.2">
      <c r="A6" t="s">
        <v>38</v>
      </c>
      <c r="B6">
        <v>17</v>
      </c>
      <c r="C6">
        <v>18</v>
      </c>
      <c r="D6" t="s">
        <v>53</v>
      </c>
      <c r="E6" t="s">
        <v>53</v>
      </c>
      <c r="F6" t="s">
        <v>53</v>
      </c>
      <c r="G6" t="s">
        <v>53</v>
      </c>
      <c r="H6" t="s">
        <v>53</v>
      </c>
      <c r="I6" t="s">
        <v>53</v>
      </c>
      <c r="J6" t="s">
        <v>53</v>
      </c>
      <c r="K6" t="s">
        <v>53</v>
      </c>
      <c r="L6" s="10" t="s">
        <v>53</v>
      </c>
      <c r="M6" t="s">
        <v>53</v>
      </c>
      <c r="O6" t="s">
        <v>53</v>
      </c>
      <c r="P6" t="s">
        <v>53</v>
      </c>
      <c r="Q6" t="s">
        <v>53</v>
      </c>
      <c r="R6" t="s">
        <v>53</v>
      </c>
      <c r="T6" t="s">
        <v>53</v>
      </c>
      <c r="V6" cm="1">
        <f t="array" ref="V6">SUM(IF("X" = D6:U6, 1, 0))</f>
        <v>15</v>
      </c>
      <c r="W6" cm="1">
        <f t="array" ref="W6">SUM(IF("?" = D6:U6, 1, 0)) + V6</f>
        <v>15</v>
      </c>
      <c r="X6" s="15">
        <f t="shared" si="0"/>
        <v>0.88235294117647056</v>
      </c>
    </row>
    <row r="7" spans="1:24" x14ac:dyDescent="0.2">
      <c r="A7" t="s">
        <v>39</v>
      </c>
      <c r="B7">
        <v>15</v>
      </c>
      <c r="C7">
        <v>15</v>
      </c>
      <c r="D7" t="s">
        <v>53</v>
      </c>
      <c r="E7" t="s">
        <v>53</v>
      </c>
      <c r="F7" t="s">
        <v>53</v>
      </c>
      <c r="G7" t="s">
        <v>53</v>
      </c>
      <c r="H7" t="s">
        <v>53</v>
      </c>
      <c r="I7" t="s">
        <v>53</v>
      </c>
      <c r="J7" t="s">
        <v>53</v>
      </c>
      <c r="K7" t="s">
        <v>53</v>
      </c>
      <c r="L7" s="10" t="s">
        <v>53</v>
      </c>
      <c r="M7" t="s">
        <v>53</v>
      </c>
      <c r="N7" t="s">
        <v>53</v>
      </c>
      <c r="P7" t="s">
        <v>53</v>
      </c>
      <c r="Q7" t="s">
        <v>53</v>
      </c>
      <c r="R7" t="s">
        <v>53</v>
      </c>
      <c r="T7" t="s">
        <v>53</v>
      </c>
      <c r="V7" cm="1">
        <f t="array" ref="V7">SUM(IF("X" = D7:U7, 1, 0))</f>
        <v>15</v>
      </c>
      <c r="W7" cm="1">
        <f t="array" ref="W7">SUM(IF("?" = D7:U7, 1, 0)) + V7</f>
        <v>15</v>
      </c>
      <c r="X7" s="15">
        <f t="shared" si="0"/>
        <v>0.88235294117647056</v>
      </c>
    </row>
    <row r="8" spans="1:24" x14ac:dyDescent="0.2">
      <c r="A8" t="s">
        <v>40</v>
      </c>
      <c r="B8">
        <v>14</v>
      </c>
      <c r="C8">
        <v>16</v>
      </c>
      <c r="D8" t="s">
        <v>53</v>
      </c>
      <c r="E8" t="s">
        <v>53</v>
      </c>
      <c r="F8" t="s">
        <v>53</v>
      </c>
      <c r="J8" t="s">
        <v>53</v>
      </c>
      <c r="K8" t="s">
        <v>53</v>
      </c>
      <c r="L8" s="10" t="s">
        <v>53</v>
      </c>
      <c r="M8" t="s">
        <v>53</v>
      </c>
      <c r="O8" t="s">
        <v>53</v>
      </c>
      <c r="P8" t="s">
        <v>53</v>
      </c>
      <c r="Q8" t="s">
        <v>53</v>
      </c>
      <c r="R8" t="s">
        <v>53</v>
      </c>
      <c r="S8" t="s">
        <v>53</v>
      </c>
      <c r="T8" t="s">
        <v>53</v>
      </c>
      <c r="V8" cm="1">
        <f t="array" ref="V8">SUM(IF("X" = D8:U8, 1, 0))</f>
        <v>13</v>
      </c>
      <c r="W8" cm="1">
        <f t="array" ref="W8">SUM(IF("?" = D8:U8, 1, 0)) + V8</f>
        <v>13</v>
      </c>
      <c r="X8" s="15">
        <f t="shared" si="0"/>
        <v>0.76470588235294112</v>
      </c>
    </row>
    <row r="9" spans="1:24" x14ac:dyDescent="0.2">
      <c r="A9" t="s">
        <v>41</v>
      </c>
      <c r="B9">
        <v>13</v>
      </c>
      <c r="C9">
        <v>13</v>
      </c>
      <c r="D9" t="s">
        <v>53</v>
      </c>
      <c r="E9" t="s">
        <v>53</v>
      </c>
      <c r="F9" t="s">
        <v>53</v>
      </c>
      <c r="G9" t="s">
        <v>53</v>
      </c>
      <c r="H9" t="s">
        <v>53</v>
      </c>
      <c r="J9" t="s">
        <v>53</v>
      </c>
      <c r="K9" t="s">
        <v>53</v>
      </c>
      <c r="L9" s="10" t="s">
        <v>53</v>
      </c>
      <c r="M9" t="s">
        <v>53</v>
      </c>
      <c r="N9" t="s">
        <v>53</v>
      </c>
      <c r="O9" t="s">
        <v>53</v>
      </c>
      <c r="P9" t="s">
        <v>53</v>
      </c>
      <c r="Q9" t="s">
        <v>53</v>
      </c>
      <c r="R9" t="s">
        <v>53</v>
      </c>
      <c r="T9" t="s">
        <v>53</v>
      </c>
      <c r="V9" cm="1">
        <f t="array" ref="V9">SUM(IF("X" = D9:U9, 1, 0))</f>
        <v>15</v>
      </c>
      <c r="W9" cm="1">
        <f t="array" ref="W9">SUM(IF("?" = D9:U9, 1, 0)) + V9</f>
        <v>15</v>
      </c>
      <c r="X9" s="15">
        <f t="shared" si="0"/>
        <v>0.88235294117647056</v>
      </c>
    </row>
    <row r="10" spans="1:24" x14ac:dyDescent="0.2">
      <c r="A10" t="s">
        <v>107</v>
      </c>
      <c r="B10">
        <v>12</v>
      </c>
      <c r="C10">
        <v>12</v>
      </c>
      <c r="D10" t="s">
        <v>53</v>
      </c>
      <c r="E10" t="s">
        <v>53</v>
      </c>
      <c r="F10" t="s">
        <v>53</v>
      </c>
      <c r="G10" t="s">
        <v>53</v>
      </c>
      <c r="H10" t="s">
        <v>53</v>
      </c>
      <c r="I10" t="s">
        <v>53</v>
      </c>
      <c r="J10" t="s">
        <v>53</v>
      </c>
      <c r="L10" s="10" t="s">
        <v>53</v>
      </c>
      <c r="M10" t="s">
        <v>53</v>
      </c>
      <c r="O10" t="s">
        <v>53</v>
      </c>
      <c r="P10" t="s">
        <v>53</v>
      </c>
      <c r="R10" t="s">
        <v>53</v>
      </c>
      <c r="S10" t="s">
        <v>53</v>
      </c>
      <c r="T10" t="s">
        <v>53</v>
      </c>
      <c r="V10" cm="1">
        <f t="array" ref="V10">SUM(IF("X" = D10:U10, 1, 0))</f>
        <v>14</v>
      </c>
      <c r="W10" cm="1">
        <f t="array" ref="W10">SUM(IF("?" = D10:U10, 1, 0)) + V10</f>
        <v>14</v>
      </c>
      <c r="X10" s="15">
        <f t="shared" si="0"/>
        <v>0.82352941176470584</v>
      </c>
    </row>
    <row r="11" spans="1:24" x14ac:dyDescent="0.2">
      <c r="A11" t="s">
        <v>44</v>
      </c>
      <c r="B11">
        <v>19</v>
      </c>
      <c r="C11">
        <v>19</v>
      </c>
      <c r="D11" t="s">
        <v>53</v>
      </c>
      <c r="E11" t="s">
        <v>53</v>
      </c>
      <c r="F11" t="s">
        <v>53</v>
      </c>
      <c r="G11" t="s">
        <v>53</v>
      </c>
      <c r="H11" t="s">
        <v>53</v>
      </c>
      <c r="I11" t="s">
        <v>53</v>
      </c>
      <c r="J11" t="s">
        <v>53</v>
      </c>
      <c r="K11" t="s">
        <v>53</v>
      </c>
      <c r="L11" s="10" t="s">
        <v>53</v>
      </c>
      <c r="M11" t="s">
        <v>53</v>
      </c>
      <c r="N11" t="s">
        <v>53</v>
      </c>
      <c r="O11" t="s">
        <v>53</v>
      </c>
      <c r="Q11" t="s">
        <v>53</v>
      </c>
      <c r="R11" t="s">
        <v>53</v>
      </c>
      <c r="S11" t="s">
        <v>53</v>
      </c>
      <c r="T11" t="s">
        <v>53</v>
      </c>
      <c r="V11" cm="1">
        <f t="array" ref="V11">SUM(IF("X" = D11:U11, 1, 0))</f>
        <v>16</v>
      </c>
      <c r="W11" cm="1">
        <f t="array" ref="W11">SUM(IF("?" = D11:U11, 1, 0)) + V11</f>
        <v>16</v>
      </c>
      <c r="X11" s="15">
        <f t="shared" si="0"/>
        <v>0.94117647058823528</v>
      </c>
    </row>
    <row r="12" spans="1:24" x14ac:dyDescent="0.2">
      <c r="A12" t="s">
        <v>46</v>
      </c>
      <c r="B12">
        <v>15</v>
      </c>
      <c r="C12">
        <v>15</v>
      </c>
      <c r="D12" t="s">
        <v>53</v>
      </c>
      <c r="E12" t="s">
        <v>53</v>
      </c>
      <c r="F12" t="s">
        <v>53</v>
      </c>
      <c r="G12" t="s">
        <v>53</v>
      </c>
      <c r="H12" t="s">
        <v>53</v>
      </c>
      <c r="I12" t="s">
        <v>53</v>
      </c>
      <c r="J12" t="s">
        <v>53</v>
      </c>
      <c r="K12" t="s">
        <v>53</v>
      </c>
      <c r="L12" s="10" t="s">
        <v>53</v>
      </c>
      <c r="M12" t="s">
        <v>53</v>
      </c>
      <c r="N12" t="s">
        <v>53</v>
      </c>
      <c r="O12" t="s">
        <v>53</v>
      </c>
      <c r="P12" t="s">
        <v>53</v>
      </c>
      <c r="R12" t="s">
        <v>53</v>
      </c>
      <c r="S12" t="s">
        <v>53</v>
      </c>
      <c r="T12" t="s">
        <v>53</v>
      </c>
      <c r="V12" cm="1">
        <f t="array" ref="V12">SUM(IF("X" = D12:U12, 1, 0))</f>
        <v>16</v>
      </c>
      <c r="W12" cm="1">
        <f t="array" ref="W12">SUM(IF("?" = D12:U12, 1, 0)) + V12</f>
        <v>16</v>
      </c>
      <c r="X12" s="15">
        <f t="shared" si="0"/>
        <v>0.94117647058823528</v>
      </c>
    </row>
    <row r="13" spans="1:24" x14ac:dyDescent="0.2">
      <c r="A13" t="s">
        <v>48</v>
      </c>
      <c r="B13">
        <v>20</v>
      </c>
      <c r="C13">
        <v>20</v>
      </c>
      <c r="D13" t="s">
        <v>53</v>
      </c>
      <c r="E13" t="s">
        <v>53</v>
      </c>
      <c r="F13" t="s">
        <v>53</v>
      </c>
      <c r="G13" t="s">
        <v>53</v>
      </c>
      <c r="H13" t="s">
        <v>53</v>
      </c>
      <c r="I13" t="s">
        <v>53</v>
      </c>
      <c r="J13" t="s">
        <v>53</v>
      </c>
      <c r="K13" t="s">
        <v>53</v>
      </c>
      <c r="L13" s="10" t="s">
        <v>53</v>
      </c>
      <c r="M13" t="s">
        <v>53</v>
      </c>
      <c r="N13" t="s">
        <v>53</v>
      </c>
      <c r="O13" t="s">
        <v>53</v>
      </c>
      <c r="P13" t="s">
        <v>53</v>
      </c>
      <c r="Q13" t="s">
        <v>53</v>
      </c>
      <c r="R13" t="s">
        <v>53</v>
      </c>
      <c r="S13" t="s">
        <v>53</v>
      </c>
      <c r="T13" t="s">
        <v>53</v>
      </c>
      <c r="V13" cm="1">
        <f t="array" ref="V13">SUM(IF("X" = D13:U13, 1, 0))</f>
        <v>17</v>
      </c>
      <c r="W13" cm="1">
        <f t="array" ref="W13">SUM(IF("?" = D13:U13, 1, 0)) + V13</f>
        <v>17</v>
      </c>
      <c r="X13" s="15">
        <f t="shared" si="0"/>
        <v>1</v>
      </c>
    </row>
    <row r="14" spans="1:24" x14ac:dyDescent="0.2">
      <c r="A14" t="s">
        <v>51</v>
      </c>
      <c r="B14">
        <v>19</v>
      </c>
      <c r="C14">
        <v>19</v>
      </c>
      <c r="D14" t="s">
        <v>53</v>
      </c>
      <c r="E14" t="s">
        <v>53</v>
      </c>
      <c r="F14" t="s">
        <v>53</v>
      </c>
      <c r="I14" t="s">
        <v>53</v>
      </c>
      <c r="J14" t="s">
        <v>53</v>
      </c>
      <c r="K14" t="s">
        <v>53</v>
      </c>
      <c r="L14" s="10" t="s">
        <v>53</v>
      </c>
      <c r="M14" t="s">
        <v>53</v>
      </c>
      <c r="N14" t="s">
        <v>53</v>
      </c>
      <c r="O14" t="s">
        <v>53</v>
      </c>
      <c r="P14" t="s">
        <v>53</v>
      </c>
      <c r="Q14" t="s">
        <v>53</v>
      </c>
      <c r="R14" t="s">
        <v>53</v>
      </c>
      <c r="T14" t="s">
        <v>53</v>
      </c>
      <c r="V14" cm="1">
        <f t="array" ref="V14">SUM(IF("X" = D14:U14, 1, 0))</f>
        <v>14</v>
      </c>
      <c r="W14" cm="1">
        <f t="array" ref="W14">SUM(IF("?" = D14:U14, 1, 0)) + V14</f>
        <v>14</v>
      </c>
      <c r="X14" s="15">
        <f t="shared" si="0"/>
        <v>0.82352941176470584</v>
      </c>
    </row>
    <row r="15" spans="1:24" x14ac:dyDescent="0.2">
      <c r="A15" t="s">
        <v>52</v>
      </c>
      <c r="B15">
        <v>14</v>
      </c>
      <c r="C15">
        <v>14</v>
      </c>
      <c r="D15" t="s">
        <v>53</v>
      </c>
      <c r="J15" t="s">
        <v>53</v>
      </c>
      <c r="K15" t="s">
        <v>53</v>
      </c>
      <c r="L15" s="10" t="s">
        <v>53</v>
      </c>
      <c r="M15" t="s">
        <v>53</v>
      </c>
      <c r="N15" t="s">
        <v>53</v>
      </c>
      <c r="O15" t="s">
        <v>53</v>
      </c>
      <c r="P15" t="s">
        <v>53</v>
      </c>
      <c r="R15" t="s">
        <v>53</v>
      </c>
      <c r="T15" t="s">
        <v>53</v>
      </c>
      <c r="V15" cm="1">
        <f t="array" ref="V15">SUM(IF("X" = D15:U15, 1, 0))</f>
        <v>10</v>
      </c>
      <c r="W15" cm="1">
        <f t="array" ref="W15">SUM(IF("?" = D15:U15, 1, 0)) + V15</f>
        <v>10</v>
      </c>
      <c r="X15" s="15">
        <f t="shared" si="0"/>
        <v>0.58823529411764708</v>
      </c>
    </row>
    <row r="16" spans="1:24" x14ac:dyDescent="0.2">
      <c r="A16" t="s">
        <v>61</v>
      </c>
      <c r="B16">
        <v>18</v>
      </c>
      <c r="C16">
        <v>18</v>
      </c>
      <c r="D16" t="s">
        <v>53</v>
      </c>
      <c r="F16" t="s">
        <v>53</v>
      </c>
      <c r="G16" t="s">
        <v>53</v>
      </c>
      <c r="H16" t="s">
        <v>53</v>
      </c>
      <c r="I16" t="s">
        <v>53</v>
      </c>
      <c r="J16" t="s">
        <v>53</v>
      </c>
      <c r="K16" t="s">
        <v>53</v>
      </c>
      <c r="L16" s="10" t="s">
        <v>53</v>
      </c>
      <c r="M16" t="s">
        <v>53</v>
      </c>
      <c r="O16" t="s">
        <v>53</v>
      </c>
      <c r="P16" t="s">
        <v>53</v>
      </c>
      <c r="Q16" t="s">
        <v>53</v>
      </c>
      <c r="R16" t="s">
        <v>53</v>
      </c>
      <c r="S16" t="s">
        <v>53</v>
      </c>
      <c r="V16" cm="1">
        <f t="array" ref="V16">SUM(IF("X" = D16:U16, 1, 0))</f>
        <v>14</v>
      </c>
      <c r="W16" cm="1">
        <f t="array" ref="W16">SUM(IF("?" = D16:U16, 1, 0)) + V16</f>
        <v>14</v>
      </c>
      <c r="X16" s="15">
        <f t="shared" si="0"/>
        <v>0.82352941176470584</v>
      </c>
    </row>
    <row r="17" spans="1:24" x14ac:dyDescent="0.2">
      <c r="A17" t="s">
        <v>108</v>
      </c>
      <c r="B17">
        <v>17</v>
      </c>
      <c r="C17">
        <v>17</v>
      </c>
      <c r="D17" t="s">
        <v>53</v>
      </c>
      <c r="F17" t="s">
        <v>53</v>
      </c>
      <c r="I17" t="s">
        <v>53</v>
      </c>
      <c r="J17" t="s">
        <v>53</v>
      </c>
      <c r="K17" t="s">
        <v>53</v>
      </c>
      <c r="L17" s="10" t="s">
        <v>53</v>
      </c>
      <c r="M17" t="s">
        <v>53</v>
      </c>
      <c r="O17" t="s">
        <v>53</v>
      </c>
      <c r="P17" t="s">
        <v>53</v>
      </c>
      <c r="Q17" t="s">
        <v>53</v>
      </c>
      <c r="R17" t="s">
        <v>53</v>
      </c>
      <c r="S17" t="s">
        <v>53</v>
      </c>
      <c r="V17" cm="1">
        <f t="array" ref="V17">SUM(IF("X" = D17:U17, 1, 0))</f>
        <v>12</v>
      </c>
      <c r="W17" cm="1">
        <f t="array" ref="W17">SUM(IF("?" = D17:U17, 1, 0)) + V17</f>
        <v>12</v>
      </c>
      <c r="X17" s="15">
        <f t="shared" si="0"/>
        <v>0.70588235294117652</v>
      </c>
    </row>
    <row r="18" spans="1:24" x14ac:dyDescent="0.2">
      <c r="A18" t="s">
        <v>45</v>
      </c>
      <c r="B18">
        <v>11</v>
      </c>
      <c r="C18">
        <v>11</v>
      </c>
      <c r="D18" t="s">
        <v>53</v>
      </c>
      <c r="E18" t="s">
        <v>53</v>
      </c>
      <c r="F18" t="s">
        <v>53</v>
      </c>
      <c r="G18" t="s">
        <v>53</v>
      </c>
      <c r="H18" t="s">
        <v>53</v>
      </c>
      <c r="I18" t="s">
        <v>53</v>
      </c>
      <c r="J18" t="s">
        <v>53</v>
      </c>
      <c r="K18" t="s">
        <v>53</v>
      </c>
      <c r="L18" s="10" t="s">
        <v>53</v>
      </c>
      <c r="M18" t="s">
        <v>53</v>
      </c>
      <c r="O18" t="s">
        <v>53</v>
      </c>
      <c r="V18" cm="1">
        <f t="array" ref="V18">SUM(IF("X" = D18:U18, 1, 0))</f>
        <v>11</v>
      </c>
      <c r="W18" cm="1">
        <f t="array" ref="W18">SUM(IF("?" = D18:U18, 1, 0)) + V18</f>
        <v>11</v>
      </c>
      <c r="X18" s="15">
        <f t="shared" si="0"/>
        <v>0.6470588235294118</v>
      </c>
    </row>
    <row r="19" spans="1:24" x14ac:dyDescent="0.2">
      <c r="A19" t="s">
        <v>106</v>
      </c>
      <c r="B19">
        <v>11</v>
      </c>
      <c r="C19">
        <v>11</v>
      </c>
      <c r="D19" t="s">
        <v>53</v>
      </c>
      <c r="E19" t="s">
        <v>53</v>
      </c>
      <c r="F19" t="s">
        <v>53</v>
      </c>
      <c r="G19" t="s">
        <v>53</v>
      </c>
      <c r="H19" t="s">
        <v>53</v>
      </c>
      <c r="I19" t="s">
        <v>53</v>
      </c>
      <c r="J19" t="s">
        <v>53</v>
      </c>
      <c r="K19" t="s">
        <v>53</v>
      </c>
      <c r="L19" s="10" t="s">
        <v>53</v>
      </c>
      <c r="M19" t="s">
        <v>53</v>
      </c>
      <c r="N19" t="s">
        <v>53</v>
      </c>
      <c r="O19" t="s">
        <v>53</v>
      </c>
      <c r="P19" t="s">
        <v>53</v>
      </c>
      <c r="Q19" t="s">
        <v>53</v>
      </c>
      <c r="T19" t="s">
        <v>53</v>
      </c>
      <c r="V19" cm="1">
        <f t="array" ref="V19">SUM(IF("X" = D19:U19, 1, 0))</f>
        <v>15</v>
      </c>
      <c r="W19" cm="1">
        <f t="array" ref="W19">SUM(IF("?" = D19:U19, 1, 0)) + V19</f>
        <v>15</v>
      </c>
      <c r="X19" s="15">
        <f>W19/17</f>
        <v>0.88235294117647056</v>
      </c>
    </row>
    <row r="20" spans="1:24" x14ac:dyDescent="0.2">
      <c r="X20" s="15"/>
    </row>
    <row r="21" spans="1:24" x14ac:dyDescent="0.2">
      <c r="A21" t="s">
        <v>103</v>
      </c>
      <c r="D21" t="s">
        <v>53</v>
      </c>
      <c r="E21" t="s">
        <v>53</v>
      </c>
      <c r="F21" t="s">
        <v>53</v>
      </c>
      <c r="I21" t="s">
        <v>53</v>
      </c>
      <c r="J21" t="s">
        <v>53</v>
      </c>
      <c r="K21" t="s">
        <v>53</v>
      </c>
      <c r="L21" s="10" t="s">
        <v>53</v>
      </c>
      <c r="M21" t="s">
        <v>53</v>
      </c>
      <c r="O21" t="s">
        <v>53</v>
      </c>
      <c r="P21" t="s">
        <v>53</v>
      </c>
      <c r="R21" t="s">
        <v>53</v>
      </c>
      <c r="T21" t="s">
        <v>53</v>
      </c>
      <c r="V21" cm="1">
        <f t="array" ref="V21">SUM(IF("X" = D21:U21, 1, 0))</f>
        <v>12</v>
      </c>
      <c r="W21" cm="1">
        <f t="array" ref="W21">SUM(IF("?" = D21:U21, 1, 0)) + V21</f>
        <v>12</v>
      </c>
      <c r="X21" s="15">
        <f t="shared" si="0"/>
        <v>0.70588235294117652</v>
      </c>
    </row>
    <row r="22" spans="1:24" x14ac:dyDescent="0.2">
      <c r="A22" t="s">
        <v>104</v>
      </c>
      <c r="D22" t="s">
        <v>53</v>
      </c>
      <c r="E22" t="s">
        <v>53</v>
      </c>
      <c r="F22" t="s">
        <v>53</v>
      </c>
      <c r="G22" t="s">
        <v>53</v>
      </c>
      <c r="H22" t="s">
        <v>53</v>
      </c>
      <c r="I22" t="s">
        <v>53</v>
      </c>
      <c r="J22" t="s">
        <v>53</v>
      </c>
      <c r="K22" t="s">
        <v>53</v>
      </c>
      <c r="L22" s="10" t="s">
        <v>53</v>
      </c>
      <c r="M22" t="s">
        <v>53</v>
      </c>
      <c r="N22" t="s">
        <v>53</v>
      </c>
      <c r="O22" t="s">
        <v>53</v>
      </c>
      <c r="Q22" t="s">
        <v>53</v>
      </c>
      <c r="R22" t="s">
        <v>53</v>
      </c>
      <c r="S22" t="s">
        <v>53</v>
      </c>
      <c r="T22" t="s">
        <v>53</v>
      </c>
      <c r="V22" cm="1">
        <f t="array" ref="V22">SUM(IF("X" = D22:U22, 1, 0))</f>
        <v>16</v>
      </c>
      <c r="W22" cm="1">
        <f t="array" ref="W22">SUM(IF("?" = D22:U22, 1, 0)) + V22</f>
        <v>16</v>
      </c>
      <c r="X22" s="15">
        <f t="shared" si="0"/>
        <v>0.94117647058823528</v>
      </c>
    </row>
    <row r="23" spans="1:24" x14ac:dyDescent="0.2">
      <c r="A23" t="s">
        <v>109</v>
      </c>
      <c r="E23" t="s">
        <v>53</v>
      </c>
      <c r="F23" t="s">
        <v>53</v>
      </c>
      <c r="J23" t="s">
        <v>53</v>
      </c>
      <c r="K23" t="s">
        <v>53</v>
      </c>
      <c r="L23" s="10" t="s">
        <v>53</v>
      </c>
      <c r="M23" t="s">
        <v>53</v>
      </c>
      <c r="N23" t="s">
        <v>53</v>
      </c>
      <c r="O23" t="s">
        <v>53</v>
      </c>
      <c r="P23" t="s">
        <v>53</v>
      </c>
      <c r="Q23" t="s">
        <v>53</v>
      </c>
      <c r="R23" t="s">
        <v>53</v>
      </c>
      <c r="S23" t="s">
        <v>53</v>
      </c>
      <c r="V23" cm="1">
        <f t="array" ref="V23">SUM(IF("X" = D23:U23, 1, 0))</f>
        <v>12</v>
      </c>
      <c r="W23" cm="1">
        <f t="array" ref="W23">SUM(IF("?" = D23:U23, 1, 0)) + V23</f>
        <v>12</v>
      </c>
      <c r="X23" s="15">
        <f t="shared" si="0"/>
        <v>0.70588235294117652</v>
      </c>
    </row>
    <row r="24" spans="1:24" x14ac:dyDescent="0.2">
      <c r="A24" t="s">
        <v>110</v>
      </c>
      <c r="D24" t="s">
        <v>53</v>
      </c>
      <c r="E24" t="s">
        <v>53</v>
      </c>
      <c r="F24" t="s">
        <v>53</v>
      </c>
      <c r="G24" t="s">
        <v>53</v>
      </c>
      <c r="H24" t="s">
        <v>53</v>
      </c>
      <c r="J24" t="s">
        <v>53</v>
      </c>
      <c r="L24" s="10" t="s">
        <v>53</v>
      </c>
      <c r="M24" t="s">
        <v>53</v>
      </c>
      <c r="N24" t="s">
        <v>53</v>
      </c>
      <c r="O24" t="s">
        <v>53</v>
      </c>
      <c r="P24" t="s">
        <v>53</v>
      </c>
      <c r="R24" t="s">
        <v>53</v>
      </c>
      <c r="T24" t="s">
        <v>53</v>
      </c>
      <c r="V24" cm="1">
        <f t="array" ref="V24">SUM(IF("X" = D24:U24, 1, 0))</f>
        <v>13</v>
      </c>
      <c r="W24" cm="1">
        <f t="array" ref="W24">SUM(IF("?" = D24:U24, 1, 0)) + V24</f>
        <v>13</v>
      </c>
      <c r="X24" s="15">
        <f t="shared" si="0"/>
        <v>0.76470588235294112</v>
      </c>
    </row>
    <row r="25" spans="1:24" x14ac:dyDescent="0.2">
      <c r="A25" t="s">
        <v>116</v>
      </c>
      <c r="D25" t="s">
        <v>53</v>
      </c>
      <c r="E25" t="s">
        <v>53</v>
      </c>
      <c r="F25" t="s">
        <v>53</v>
      </c>
      <c r="I25" t="s">
        <v>53</v>
      </c>
      <c r="J25" t="s">
        <v>53</v>
      </c>
      <c r="K25" t="s">
        <v>53</v>
      </c>
      <c r="L25" s="10" t="s">
        <v>53</v>
      </c>
      <c r="M25" t="s">
        <v>53</v>
      </c>
      <c r="N25" t="s">
        <v>53</v>
      </c>
      <c r="O25" t="s">
        <v>53</v>
      </c>
      <c r="P25" t="s">
        <v>53</v>
      </c>
      <c r="R25" t="s">
        <v>53</v>
      </c>
      <c r="T25" t="s">
        <v>53</v>
      </c>
      <c r="V25" cm="1">
        <f t="array" ref="V25">SUM(IF("X" = D25:U25, 1, 0))</f>
        <v>13</v>
      </c>
      <c r="W25" cm="1">
        <f t="array" ref="W25">SUM(IF("?" = D25:U25, 1, 0)) + V25</f>
        <v>13</v>
      </c>
      <c r="X25" s="15">
        <f t="shared" ref="X25" si="1">W25/17</f>
        <v>0.76470588235294112</v>
      </c>
    </row>
    <row r="26" spans="1:24" x14ac:dyDescent="0.2">
      <c r="X26" s="15"/>
    </row>
    <row r="27" spans="1:24" x14ac:dyDescent="0.2">
      <c r="A27" t="s">
        <v>58</v>
      </c>
      <c r="D27" t="s">
        <v>53</v>
      </c>
      <c r="E27" t="s">
        <v>53</v>
      </c>
      <c r="F27" t="s">
        <v>53</v>
      </c>
      <c r="G27" t="s">
        <v>53</v>
      </c>
      <c r="H27" t="s">
        <v>53</v>
      </c>
      <c r="I27" t="s">
        <v>53</v>
      </c>
      <c r="J27" t="s">
        <v>53</v>
      </c>
      <c r="K27" t="s">
        <v>53</v>
      </c>
      <c r="L27" s="10" t="s">
        <v>53</v>
      </c>
      <c r="M27" t="s">
        <v>53</v>
      </c>
      <c r="N27" t="s">
        <v>53</v>
      </c>
      <c r="O27" t="s">
        <v>53</v>
      </c>
      <c r="P27" t="s">
        <v>53</v>
      </c>
      <c r="Q27" t="s">
        <v>53</v>
      </c>
      <c r="R27" t="s">
        <v>53</v>
      </c>
      <c r="S27" t="s">
        <v>53</v>
      </c>
      <c r="T27" t="s">
        <v>53</v>
      </c>
      <c r="V27" cm="1">
        <f t="array" ref="V27">SUM(IF("X" = D27:U27, 1, 0))</f>
        <v>17</v>
      </c>
      <c r="W27" cm="1">
        <f t="array" ref="W27">SUM(IF("?" = D27:U27, 1, 0)) + V27</f>
        <v>17</v>
      </c>
      <c r="X27" s="15">
        <f t="shared" si="0"/>
        <v>1</v>
      </c>
    </row>
    <row r="30" spans="1:24" x14ac:dyDescent="0.2">
      <c r="A30">
        <f>COUNTA(A2:A27)</f>
        <v>24</v>
      </c>
      <c r="D30">
        <f t="shared" ref="D30:T30" si="2">COUNTIFS(D2:D27, "X")</f>
        <v>23</v>
      </c>
      <c r="E30">
        <f t="shared" si="2"/>
        <v>21</v>
      </c>
      <c r="F30">
        <f t="shared" si="2"/>
        <v>23</v>
      </c>
      <c r="G30">
        <f t="shared" si="2"/>
        <v>17</v>
      </c>
      <c r="H30">
        <f t="shared" si="2"/>
        <v>17</v>
      </c>
      <c r="I30">
        <f t="shared" si="2"/>
        <v>18</v>
      </c>
      <c r="J30">
        <f t="shared" si="2"/>
        <v>24</v>
      </c>
      <c r="K30">
        <f t="shared" si="2"/>
        <v>21</v>
      </c>
      <c r="L30">
        <f t="shared" si="2"/>
        <v>24</v>
      </c>
      <c r="M30">
        <f t="shared" si="2"/>
        <v>24</v>
      </c>
      <c r="N30">
        <f t="shared" si="2"/>
        <v>16</v>
      </c>
      <c r="O30">
        <f t="shared" si="2"/>
        <v>22</v>
      </c>
      <c r="P30">
        <f t="shared" si="2"/>
        <v>21</v>
      </c>
      <c r="Q30">
        <f t="shared" si="2"/>
        <v>17</v>
      </c>
      <c r="R30">
        <f t="shared" si="2"/>
        <v>21</v>
      </c>
      <c r="S30">
        <f t="shared" si="2"/>
        <v>13</v>
      </c>
      <c r="T30">
        <f t="shared" si="2"/>
        <v>20</v>
      </c>
    </row>
    <row r="31" spans="1:24" x14ac:dyDescent="0.2">
      <c r="D31" s="15">
        <f>D30/$A$30</f>
        <v>0.95833333333333337</v>
      </c>
      <c r="E31" s="15">
        <f t="shared" ref="E31:T31" si="3">E30/$A$30</f>
        <v>0.875</v>
      </c>
      <c r="F31" s="15">
        <f t="shared" si="3"/>
        <v>0.95833333333333337</v>
      </c>
      <c r="G31" s="15">
        <f t="shared" si="3"/>
        <v>0.70833333333333337</v>
      </c>
      <c r="H31" s="15">
        <f t="shared" si="3"/>
        <v>0.70833333333333337</v>
      </c>
      <c r="I31" s="15">
        <f t="shared" si="3"/>
        <v>0.75</v>
      </c>
      <c r="J31" s="15">
        <f t="shared" si="3"/>
        <v>1</v>
      </c>
      <c r="K31" s="15">
        <f t="shared" si="3"/>
        <v>0.875</v>
      </c>
      <c r="L31" s="15">
        <f t="shared" si="3"/>
        <v>1</v>
      </c>
      <c r="M31" s="15">
        <f t="shared" si="3"/>
        <v>1</v>
      </c>
      <c r="N31" s="15">
        <f t="shared" si="3"/>
        <v>0.66666666666666663</v>
      </c>
      <c r="O31" s="15">
        <f t="shared" si="3"/>
        <v>0.91666666666666663</v>
      </c>
      <c r="P31" s="15">
        <f t="shared" si="3"/>
        <v>0.875</v>
      </c>
      <c r="Q31" s="15">
        <f t="shared" si="3"/>
        <v>0.70833333333333337</v>
      </c>
      <c r="R31" s="15">
        <f t="shared" si="3"/>
        <v>0.875</v>
      </c>
      <c r="S31" s="15">
        <f t="shared" si="3"/>
        <v>0.54166666666666663</v>
      </c>
      <c r="T31" s="15">
        <f t="shared" si="3"/>
        <v>0.83333333333333337</v>
      </c>
      <c r="V31" s="6">
        <f t="shared" ref="V31:W31" si="4">AVERAGE(V2:V29)</f>
        <v>14.25</v>
      </c>
      <c r="W31" s="6">
        <f t="shared" si="4"/>
        <v>14.25</v>
      </c>
      <c r="X31" s="19">
        <f>AVERAGE(X2:X29)</f>
        <v>0.83823529411764708</v>
      </c>
    </row>
    <row r="38" spans="1:24" s="16" customFormat="1" x14ac:dyDescent="0.2">
      <c r="A38" s="16" t="s">
        <v>47</v>
      </c>
      <c r="B38" s="16">
        <v>12</v>
      </c>
      <c r="C38" s="16">
        <v>12</v>
      </c>
      <c r="D38" s="16" t="s">
        <v>53</v>
      </c>
      <c r="J38" s="16" t="s">
        <v>53</v>
      </c>
      <c r="K38" s="16" t="s">
        <v>53</v>
      </c>
      <c r="L38" s="17" t="s">
        <v>53</v>
      </c>
      <c r="M38" s="16" t="s">
        <v>53</v>
      </c>
      <c r="N38" s="16" t="s">
        <v>53</v>
      </c>
      <c r="O38" s="16" t="s">
        <v>53</v>
      </c>
      <c r="T38" s="16" t="s">
        <v>53</v>
      </c>
      <c r="V38" s="16" cm="1">
        <f t="array" ref="V38">SUM(IF("X" = D38:U38, 1, 0))</f>
        <v>8</v>
      </c>
      <c r="W38" s="16" cm="1">
        <f t="array" ref="W38">SUM(IF("?" = D38:U38, 1, 0)) + V38</f>
        <v>8</v>
      </c>
      <c r="X38" s="18">
        <f>W38/17</f>
        <v>0.47058823529411764</v>
      </c>
    </row>
    <row r="40" spans="1:24" x14ac:dyDescent="0.2">
      <c r="A40" t="s">
        <v>63</v>
      </c>
      <c r="B40">
        <v>13</v>
      </c>
      <c r="C40">
        <v>13</v>
      </c>
      <c r="J40" t="s">
        <v>53</v>
      </c>
      <c r="K40" t="s">
        <v>53</v>
      </c>
      <c r="M40" t="s">
        <v>53</v>
      </c>
      <c r="P40" t="s">
        <v>53</v>
      </c>
      <c r="Q40" t="s">
        <v>53</v>
      </c>
      <c r="R40" t="s">
        <v>53</v>
      </c>
      <c r="S40" t="s">
        <v>53</v>
      </c>
      <c r="T40" t="s">
        <v>53</v>
      </c>
      <c r="V40" cm="1">
        <f t="array" ref="V40">SUM(IF("X" = D40:U40, 1, 0))</f>
        <v>8</v>
      </c>
      <c r="W40" cm="1">
        <f t="array" ref="W40">SUM(IF("?" = D40:U40, 1, 0)) + V40</f>
        <v>8</v>
      </c>
      <c r="X40" s="15">
        <f>W40/17</f>
        <v>0.47058823529411764</v>
      </c>
    </row>
    <row r="42" spans="1:24" x14ac:dyDescent="0.2">
      <c r="A42" t="s">
        <v>111</v>
      </c>
      <c r="D42" t="s">
        <v>105</v>
      </c>
      <c r="E42" t="s">
        <v>105</v>
      </c>
      <c r="F42" t="s">
        <v>105</v>
      </c>
      <c r="L42" s="10" t="s">
        <v>105</v>
      </c>
      <c r="M42" t="s">
        <v>105</v>
      </c>
      <c r="N42" t="s">
        <v>105</v>
      </c>
      <c r="O42" t="s">
        <v>105</v>
      </c>
      <c r="Q42" t="s">
        <v>105</v>
      </c>
      <c r="S42" t="s">
        <v>105</v>
      </c>
      <c r="V42" cm="1">
        <f t="array" ref="V42">SUM(IF("X" = D42:U42, 1, 0))</f>
        <v>9</v>
      </c>
      <c r="W42" cm="1">
        <f t="array" ref="W42">SUM(IF("?" = D42:U42, 1, 0)) + V42</f>
        <v>9</v>
      </c>
      <c r="X42" s="15">
        <f>W42/17</f>
        <v>0.52941176470588236</v>
      </c>
    </row>
    <row r="43" spans="1:24" x14ac:dyDescent="0.2">
      <c r="A43" t="s">
        <v>113</v>
      </c>
      <c r="D43" t="s">
        <v>105</v>
      </c>
      <c r="E43" t="s">
        <v>105</v>
      </c>
      <c r="K43" t="s">
        <v>105</v>
      </c>
      <c r="M43" t="s">
        <v>105</v>
      </c>
      <c r="N43" t="s">
        <v>105</v>
      </c>
      <c r="O43" t="s">
        <v>105</v>
      </c>
      <c r="P43" t="s">
        <v>105</v>
      </c>
      <c r="S43" t="s">
        <v>105</v>
      </c>
      <c r="V43" cm="1">
        <f t="array" ref="V43">SUM(IF("X" = D43:U43, 1, 0))</f>
        <v>8</v>
      </c>
      <c r="W43" cm="1">
        <f t="array" ref="W43">SUM(IF("?" = D43:U43, 1, 0)) + V43</f>
        <v>8</v>
      </c>
      <c r="X43" s="15">
        <f>W43/17</f>
        <v>0.47058823529411764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cleaned_counts</vt:lpstr>
      <vt:lpstr>cleaned_revised_counts</vt:lpstr>
      <vt:lpstr>cleaned_revised_counts v2</vt:lpstr>
      <vt:lpstr>cleaned_revised_counts v3</vt:lpstr>
      <vt:lpstr>almost_raglan</vt:lpstr>
      <vt:lpstr>Initial Results (3)</vt:lpstr>
      <vt:lpstr>Initial Results</vt:lpstr>
      <vt:lpstr>Sheet2</vt:lpstr>
      <vt:lpstr>Initial Results (2)</vt:lpstr>
      <vt:lpstr>Sheet3</vt:lpstr>
      <vt:lpstr>original meaning</vt:lpstr>
      <vt:lpstr>New Criteria</vt:lpstr>
      <vt:lpstr>New 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Adair</dc:creator>
  <cp:lastModifiedBy>Aaron Adair</cp:lastModifiedBy>
  <dcterms:created xsi:type="dcterms:W3CDTF">2024-07-10T18:05:07Z</dcterms:created>
  <dcterms:modified xsi:type="dcterms:W3CDTF">2026-03-08T21:34:03Z</dcterms:modified>
</cp:coreProperties>
</file>